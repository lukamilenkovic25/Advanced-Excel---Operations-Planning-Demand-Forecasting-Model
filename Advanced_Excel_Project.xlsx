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g82107\Desktop\Power Query\PORTFOLIO\9. Advanced Excel Project - Operations Planning &amp; Demand Forecast\"/>
    </mc:Choice>
  </mc:AlternateContent>
  <xr:revisionPtr revIDLastSave="0" documentId="13_ncr:1_{95712C6D-61E2-47BF-8DD0-053A7AEA1A08}" xr6:coauthVersionLast="47" xr6:coauthVersionMax="47" xr10:uidLastSave="{00000000-0000-0000-0000-000000000000}"/>
  <bookViews>
    <workbookView xWindow="-28920" yWindow="-120" windowWidth="29040" windowHeight="15720" xr2:uid="{872C48A3-6E2D-456F-B3A7-CC56CD5DA803}"/>
  </bookViews>
  <sheets>
    <sheet name="Raw_data" sheetId="1" r:id="rId1"/>
    <sheet name="Assumptions" sheetId="2" r:id="rId2"/>
    <sheet name="Forecast_Model" sheetId="3" r:id="rId3"/>
    <sheet name="Scenario_Analysis" sheetId="4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RawData_859b917a-0800-4f09-a6dc-7a5b64f6d864" name="Tbl_RawData" connection="Query - Tbl_Raw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 a="1"/>
  <c r="K2" i="4" s="1"/>
  <c r="J2" i="4" a="1"/>
  <c r="J2" i="4" s="1"/>
  <c r="B2" i="4"/>
  <c r="I2" i="4" s="1" a="1"/>
  <c r="I2" i="4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F2" i="5" l="1" a="1"/>
  <c r="F2" i="5" s="1"/>
  <c r="D2" i="5" a="1"/>
  <c r="D2" i="5" s="1"/>
  <c r="B2" i="5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" i="3"/>
  <c r="E3" i="3"/>
  <c r="E8" i="3"/>
  <c r="E9" i="3"/>
  <c r="E10" i="3"/>
  <c r="E11" i="3"/>
  <c r="E12" i="3"/>
  <c r="E15" i="3"/>
  <c r="E20" i="3"/>
  <c r="E21" i="3"/>
  <c r="E22" i="3"/>
  <c r="E23" i="3"/>
  <c r="E24" i="3"/>
  <c r="E27" i="3"/>
  <c r="E32" i="3"/>
  <c r="E33" i="3"/>
  <c r="E34" i="3"/>
  <c r="E35" i="3"/>
  <c r="E36" i="3"/>
  <c r="E39" i="3"/>
  <c r="E44" i="3"/>
  <c r="E45" i="3"/>
  <c r="E46" i="3"/>
  <c r="E47" i="3"/>
  <c r="E48" i="3"/>
  <c r="E51" i="3"/>
  <c r="E56" i="3"/>
  <c r="E57" i="3"/>
  <c r="E58" i="3"/>
  <c r="E59" i="3"/>
  <c r="E60" i="3"/>
  <c r="E63" i="3"/>
  <c r="E68" i="3"/>
  <c r="E69" i="3"/>
  <c r="E70" i="3"/>
  <c r="E71" i="3"/>
  <c r="E72" i="3"/>
  <c r="E75" i="3"/>
  <c r="E80" i="3"/>
  <c r="E81" i="3"/>
  <c r="E82" i="3"/>
  <c r="E83" i="3"/>
  <c r="E84" i="3"/>
  <c r="E87" i="3"/>
  <c r="E92" i="3"/>
  <c r="E93" i="3"/>
  <c r="E94" i="3"/>
  <c r="E95" i="3"/>
  <c r="E96" i="3"/>
  <c r="E99" i="3"/>
  <c r="E104" i="3"/>
  <c r="E105" i="3"/>
  <c r="E106" i="3"/>
  <c r="E107" i="3"/>
  <c r="E108" i="3"/>
  <c r="E111" i="3"/>
  <c r="E117" i="3"/>
  <c r="E118" i="3"/>
  <c r="E119" i="3"/>
  <c r="E120" i="3"/>
  <c r="E123" i="3"/>
  <c r="E128" i="3"/>
  <c r="E129" i="3"/>
  <c r="E130" i="3"/>
  <c r="E131" i="3"/>
  <c r="E132" i="3"/>
  <c r="E135" i="3"/>
  <c r="E140" i="3"/>
  <c r="E141" i="3"/>
  <c r="E142" i="3"/>
  <c r="E143" i="3"/>
  <c r="E144" i="3"/>
  <c r="E147" i="3"/>
  <c r="E152" i="3"/>
  <c r="E153" i="3"/>
  <c r="E154" i="3"/>
  <c r="E155" i="3"/>
  <c r="E156" i="3"/>
  <c r="E159" i="3"/>
  <c r="E164" i="3"/>
  <c r="E165" i="3"/>
  <c r="E166" i="3"/>
  <c r="E167" i="3"/>
  <c r="E168" i="3"/>
  <c r="E171" i="3"/>
  <c r="E176" i="3"/>
  <c r="E177" i="3"/>
  <c r="E178" i="3"/>
  <c r="E179" i="3"/>
  <c r="E180" i="3"/>
  <c r="E183" i="3"/>
  <c r="E188" i="3"/>
  <c r="E189" i="3"/>
  <c r="E190" i="3"/>
  <c r="E191" i="3"/>
  <c r="E192" i="3"/>
  <c r="E195" i="3"/>
  <c r="E200" i="3"/>
  <c r="E201" i="3"/>
  <c r="E202" i="3"/>
  <c r="E203" i="3"/>
  <c r="E204" i="3"/>
  <c r="E207" i="3"/>
  <c r="E212" i="3"/>
  <c r="E213" i="3"/>
  <c r="E214" i="3"/>
  <c r="E215" i="3"/>
  <c r="E216" i="3"/>
  <c r="E219" i="3"/>
  <c r="E224" i="3"/>
  <c r="E225" i="3"/>
  <c r="E226" i="3"/>
  <c r="E227" i="3"/>
  <c r="E228" i="3"/>
  <c r="E231" i="3"/>
  <c r="E236" i="3"/>
  <c r="E237" i="3"/>
  <c r="E238" i="3"/>
  <c r="E239" i="3"/>
  <c r="E240" i="3"/>
  <c r="E243" i="3"/>
  <c r="E248" i="3"/>
  <c r="E249" i="3"/>
  <c r="E250" i="3"/>
  <c r="E251" i="3"/>
  <c r="E2" i="3"/>
  <c r="K3" i="3"/>
  <c r="K4" i="3"/>
  <c r="E4" i="3" s="1"/>
  <c r="K5" i="3"/>
  <c r="E5" i="3" s="1"/>
  <c r="K6" i="3"/>
  <c r="E6" i="3" s="1"/>
  <c r="K7" i="3"/>
  <c r="E7" i="3" s="1"/>
  <c r="K8" i="3"/>
  <c r="K9" i="3"/>
  <c r="K10" i="3"/>
  <c r="K11" i="3"/>
  <c r="K12" i="3"/>
  <c r="K13" i="3"/>
  <c r="E13" i="3" s="1"/>
  <c r="K14" i="3"/>
  <c r="E14" i="3" s="1"/>
  <c r="K15" i="3"/>
  <c r="K16" i="3"/>
  <c r="E16" i="3" s="1"/>
  <c r="K17" i="3"/>
  <c r="E17" i="3" s="1"/>
  <c r="K18" i="3"/>
  <c r="E18" i="3" s="1"/>
  <c r="K19" i="3"/>
  <c r="E19" i="3" s="1"/>
  <c r="K20" i="3"/>
  <c r="K21" i="3"/>
  <c r="K22" i="3"/>
  <c r="K23" i="3"/>
  <c r="K24" i="3"/>
  <c r="K25" i="3"/>
  <c r="E25" i="3" s="1"/>
  <c r="K26" i="3"/>
  <c r="E26" i="3" s="1"/>
  <c r="K27" i="3"/>
  <c r="K28" i="3"/>
  <c r="E28" i="3" s="1"/>
  <c r="K29" i="3"/>
  <c r="E29" i="3" s="1"/>
  <c r="K30" i="3"/>
  <c r="E30" i="3" s="1"/>
  <c r="K31" i="3"/>
  <c r="E31" i="3" s="1"/>
  <c r="K32" i="3"/>
  <c r="K33" i="3"/>
  <c r="K34" i="3"/>
  <c r="K35" i="3"/>
  <c r="K36" i="3"/>
  <c r="K37" i="3"/>
  <c r="E37" i="3" s="1"/>
  <c r="K38" i="3"/>
  <c r="E38" i="3" s="1"/>
  <c r="K39" i="3"/>
  <c r="K40" i="3"/>
  <c r="E40" i="3" s="1"/>
  <c r="K41" i="3"/>
  <c r="E41" i="3" s="1"/>
  <c r="K42" i="3"/>
  <c r="E42" i="3" s="1"/>
  <c r="K43" i="3"/>
  <c r="E43" i="3" s="1"/>
  <c r="K44" i="3"/>
  <c r="K45" i="3"/>
  <c r="K46" i="3"/>
  <c r="K47" i="3"/>
  <c r="K48" i="3"/>
  <c r="K49" i="3"/>
  <c r="E49" i="3" s="1"/>
  <c r="K50" i="3"/>
  <c r="E50" i="3" s="1"/>
  <c r="K51" i="3"/>
  <c r="K52" i="3"/>
  <c r="E52" i="3" s="1"/>
  <c r="K53" i="3"/>
  <c r="E53" i="3" s="1"/>
  <c r="K54" i="3"/>
  <c r="E54" i="3" s="1"/>
  <c r="K55" i="3"/>
  <c r="E55" i="3" s="1"/>
  <c r="K56" i="3"/>
  <c r="K57" i="3"/>
  <c r="K58" i="3"/>
  <c r="K59" i="3"/>
  <c r="K60" i="3"/>
  <c r="K61" i="3"/>
  <c r="E61" i="3" s="1"/>
  <c r="K62" i="3"/>
  <c r="E62" i="3" s="1"/>
  <c r="K63" i="3"/>
  <c r="K64" i="3"/>
  <c r="E64" i="3" s="1"/>
  <c r="K65" i="3"/>
  <c r="E65" i="3" s="1"/>
  <c r="K66" i="3"/>
  <c r="E66" i="3" s="1"/>
  <c r="K67" i="3"/>
  <c r="E67" i="3" s="1"/>
  <c r="K68" i="3"/>
  <c r="K69" i="3"/>
  <c r="K70" i="3"/>
  <c r="K71" i="3"/>
  <c r="K72" i="3"/>
  <c r="K73" i="3"/>
  <c r="E73" i="3" s="1"/>
  <c r="K74" i="3"/>
  <c r="E74" i="3" s="1"/>
  <c r="K75" i="3"/>
  <c r="K76" i="3"/>
  <c r="E76" i="3" s="1"/>
  <c r="K77" i="3"/>
  <c r="E77" i="3" s="1"/>
  <c r="K78" i="3"/>
  <c r="E78" i="3" s="1"/>
  <c r="K79" i="3"/>
  <c r="E79" i="3" s="1"/>
  <c r="K80" i="3"/>
  <c r="K81" i="3"/>
  <c r="K82" i="3"/>
  <c r="K83" i="3"/>
  <c r="K84" i="3"/>
  <c r="K85" i="3"/>
  <c r="E85" i="3" s="1"/>
  <c r="K86" i="3"/>
  <c r="E86" i="3" s="1"/>
  <c r="K87" i="3"/>
  <c r="K88" i="3"/>
  <c r="E88" i="3" s="1"/>
  <c r="K89" i="3"/>
  <c r="E89" i="3" s="1"/>
  <c r="K90" i="3"/>
  <c r="E90" i="3" s="1"/>
  <c r="K91" i="3"/>
  <c r="E91" i="3" s="1"/>
  <c r="K92" i="3"/>
  <c r="K93" i="3"/>
  <c r="K94" i="3"/>
  <c r="K95" i="3"/>
  <c r="K96" i="3"/>
  <c r="K97" i="3"/>
  <c r="E97" i="3" s="1"/>
  <c r="K98" i="3"/>
  <c r="E98" i="3" s="1"/>
  <c r="K99" i="3"/>
  <c r="K100" i="3"/>
  <c r="E100" i="3" s="1"/>
  <c r="K101" i="3"/>
  <c r="E101" i="3" s="1"/>
  <c r="K102" i="3"/>
  <c r="E102" i="3" s="1"/>
  <c r="K103" i="3"/>
  <c r="E103" i="3" s="1"/>
  <c r="K104" i="3"/>
  <c r="K105" i="3"/>
  <c r="K106" i="3"/>
  <c r="K107" i="3"/>
  <c r="K108" i="3"/>
  <c r="K109" i="3"/>
  <c r="E109" i="3" s="1"/>
  <c r="K110" i="3"/>
  <c r="E110" i="3" s="1"/>
  <c r="K111" i="3"/>
  <c r="K112" i="3"/>
  <c r="E112" i="3" s="1"/>
  <c r="K113" i="3"/>
  <c r="E113" i="3" s="1"/>
  <c r="K114" i="3"/>
  <c r="E114" i="3" s="1"/>
  <c r="K115" i="3"/>
  <c r="E115" i="3" s="1"/>
  <c r="K116" i="3"/>
  <c r="E116" i="3" s="1"/>
  <c r="K117" i="3"/>
  <c r="K118" i="3"/>
  <c r="K119" i="3"/>
  <c r="K120" i="3"/>
  <c r="K121" i="3"/>
  <c r="E121" i="3" s="1"/>
  <c r="K122" i="3"/>
  <c r="E122" i="3" s="1"/>
  <c r="K123" i="3"/>
  <c r="K124" i="3"/>
  <c r="E124" i="3" s="1"/>
  <c r="K125" i="3"/>
  <c r="E125" i="3" s="1"/>
  <c r="K126" i="3"/>
  <c r="E126" i="3" s="1"/>
  <c r="K127" i="3"/>
  <c r="E127" i="3" s="1"/>
  <c r="K128" i="3"/>
  <c r="K129" i="3"/>
  <c r="K130" i="3"/>
  <c r="K131" i="3"/>
  <c r="K132" i="3"/>
  <c r="K133" i="3"/>
  <c r="E133" i="3" s="1"/>
  <c r="K134" i="3"/>
  <c r="E134" i="3" s="1"/>
  <c r="K135" i="3"/>
  <c r="K136" i="3"/>
  <c r="E136" i="3" s="1"/>
  <c r="K137" i="3"/>
  <c r="E137" i="3" s="1"/>
  <c r="K138" i="3"/>
  <c r="E138" i="3" s="1"/>
  <c r="K139" i="3"/>
  <c r="E139" i="3" s="1"/>
  <c r="K140" i="3"/>
  <c r="K141" i="3"/>
  <c r="K142" i="3"/>
  <c r="K143" i="3"/>
  <c r="K144" i="3"/>
  <c r="K145" i="3"/>
  <c r="E145" i="3" s="1"/>
  <c r="K146" i="3"/>
  <c r="E146" i="3" s="1"/>
  <c r="K147" i="3"/>
  <c r="K148" i="3"/>
  <c r="E148" i="3" s="1"/>
  <c r="K149" i="3"/>
  <c r="E149" i="3" s="1"/>
  <c r="K150" i="3"/>
  <c r="E150" i="3" s="1"/>
  <c r="K151" i="3"/>
  <c r="E151" i="3" s="1"/>
  <c r="K152" i="3"/>
  <c r="K153" i="3"/>
  <c r="K154" i="3"/>
  <c r="K155" i="3"/>
  <c r="K156" i="3"/>
  <c r="K157" i="3"/>
  <c r="E157" i="3" s="1"/>
  <c r="K158" i="3"/>
  <c r="E158" i="3" s="1"/>
  <c r="K159" i="3"/>
  <c r="K160" i="3"/>
  <c r="E160" i="3" s="1"/>
  <c r="K161" i="3"/>
  <c r="E161" i="3" s="1"/>
  <c r="K162" i="3"/>
  <c r="E162" i="3" s="1"/>
  <c r="K163" i="3"/>
  <c r="E163" i="3" s="1"/>
  <c r="K164" i="3"/>
  <c r="K165" i="3"/>
  <c r="K166" i="3"/>
  <c r="K167" i="3"/>
  <c r="K168" i="3"/>
  <c r="K169" i="3"/>
  <c r="E169" i="3" s="1"/>
  <c r="K170" i="3"/>
  <c r="E170" i="3" s="1"/>
  <c r="K171" i="3"/>
  <c r="K172" i="3"/>
  <c r="E172" i="3" s="1"/>
  <c r="K173" i="3"/>
  <c r="E173" i="3" s="1"/>
  <c r="K174" i="3"/>
  <c r="E174" i="3" s="1"/>
  <c r="K175" i="3"/>
  <c r="E175" i="3" s="1"/>
  <c r="K176" i="3"/>
  <c r="K177" i="3"/>
  <c r="K178" i="3"/>
  <c r="K179" i="3"/>
  <c r="K180" i="3"/>
  <c r="K181" i="3"/>
  <c r="E181" i="3" s="1"/>
  <c r="K182" i="3"/>
  <c r="E182" i="3" s="1"/>
  <c r="K183" i="3"/>
  <c r="K184" i="3"/>
  <c r="E184" i="3" s="1"/>
  <c r="K185" i="3"/>
  <c r="E185" i="3" s="1"/>
  <c r="K186" i="3"/>
  <c r="E186" i="3" s="1"/>
  <c r="K187" i="3"/>
  <c r="E187" i="3" s="1"/>
  <c r="K188" i="3"/>
  <c r="K189" i="3"/>
  <c r="K190" i="3"/>
  <c r="K191" i="3"/>
  <c r="K192" i="3"/>
  <c r="K193" i="3"/>
  <c r="E193" i="3" s="1"/>
  <c r="K194" i="3"/>
  <c r="E194" i="3" s="1"/>
  <c r="K195" i="3"/>
  <c r="K196" i="3"/>
  <c r="E196" i="3" s="1"/>
  <c r="K197" i="3"/>
  <c r="E197" i="3" s="1"/>
  <c r="K198" i="3"/>
  <c r="E198" i="3" s="1"/>
  <c r="K199" i="3"/>
  <c r="E199" i="3" s="1"/>
  <c r="K200" i="3"/>
  <c r="K201" i="3"/>
  <c r="K202" i="3"/>
  <c r="K203" i="3"/>
  <c r="K204" i="3"/>
  <c r="K205" i="3"/>
  <c r="E205" i="3" s="1"/>
  <c r="K206" i="3"/>
  <c r="E206" i="3" s="1"/>
  <c r="K207" i="3"/>
  <c r="K208" i="3"/>
  <c r="E208" i="3" s="1"/>
  <c r="K209" i="3"/>
  <c r="E209" i="3" s="1"/>
  <c r="K210" i="3"/>
  <c r="E210" i="3" s="1"/>
  <c r="K211" i="3"/>
  <c r="E211" i="3" s="1"/>
  <c r="K212" i="3"/>
  <c r="K213" i="3"/>
  <c r="K214" i="3"/>
  <c r="K215" i="3"/>
  <c r="K216" i="3"/>
  <c r="K217" i="3"/>
  <c r="E217" i="3" s="1"/>
  <c r="K218" i="3"/>
  <c r="E218" i="3" s="1"/>
  <c r="K219" i="3"/>
  <c r="K220" i="3"/>
  <c r="E220" i="3" s="1"/>
  <c r="K221" i="3"/>
  <c r="E221" i="3" s="1"/>
  <c r="K222" i="3"/>
  <c r="E222" i="3" s="1"/>
  <c r="K223" i="3"/>
  <c r="E223" i="3" s="1"/>
  <c r="K224" i="3"/>
  <c r="K225" i="3"/>
  <c r="K226" i="3"/>
  <c r="K227" i="3"/>
  <c r="K228" i="3"/>
  <c r="K229" i="3"/>
  <c r="E229" i="3" s="1"/>
  <c r="K230" i="3"/>
  <c r="E230" i="3" s="1"/>
  <c r="K231" i="3"/>
  <c r="K232" i="3"/>
  <c r="E232" i="3" s="1"/>
  <c r="K233" i="3"/>
  <c r="E233" i="3" s="1"/>
  <c r="K234" i="3"/>
  <c r="E234" i="3" s="1"/>
  <c r="K235" i="3"/>
  <c r="E235" i="3" s="1"/>
  <c r="K236" i="3"/>
  <c r="K237" i="3"/>
  <c r="K238" i="3"/>
  <c r="K239" i="3"/>
  <c r="K240" i="3"/>
  <c r="K241" i="3"/>
  <c r="E241" i="3" s="1"/>
  <c r="K242" i="3"/>
  <c r="E242" i="3" s="1"/>
  <c r="K243" i="3"/>
  <c r="K244" i="3"/>
  <c r="E244" i="3" s="1"/>
  <c r="K245" i="3"/>
  <c r="E245" i="3" s="1"/>
  <c r="K246" i="3"/>
  <c r="E246" i="3" s="1"/>
  <c r="K247" i="3"/>
  <c r="E247" i="3" s="1"/>
  <c r="K248" i="3"/>
  <c r="K249" i="3"/>
  <c r="K250" i="3"/>
  <c r="K251" i="3"/>
  <c r="K2" i="3"/>
  <c r="D3" i="3" l="1" a="1"/>
  <c r="D3" i="3" s="1"/>
  <c r="F3" i="3" s="1"/>
  <c r="H3" i="3" s="1"/>
  <c r="J3" i="3" s="1"/>
  <c r="D4" i="3" a="1"/>
  <c r="D4" i="3" s="1"/>
  <c r="F4" i="3" s="1"/>
  <c r="H4" i="3" s="1"/>
  <c r="J4" i="3" s="1"/>
  <c r="D5" i="3" a="1"/>
  <c r="D5" i="3" s="1"/>
  <c r="F5" i="3" s="1"/>
  <c r="H5" i="3" s="1"/>
  <c r="J5" i="3" s="1"/>
  <c r="D6" i="3" a="1"/>
  <c r="D6" i="3" s="1"/>
  <c r="F6" i="3" s="1"/>
  <c r="H6" i="3" s="1"/>
  <c r="J6" i="3" s="1"/>
  <c r="D7" i="3" a="1"/>
  <c r="D7" i="3" s="1"/>
  <c r="F7" i="3" s="1"/>
  <c r="H7" i="3" s="1"/>
  <c r="J7" i="3" s="1"/>
  <c r="D8" i="3" a="1"/>
  <c r="D8" i="3" s="1"/>
  <c r="F8" i="3" s="1"/>
  <c r="H8" i="3" s="1"/>
  <c r="J8" i="3" s="1"/>
  <c r="D9" i="3" a="1"/>
  <c r="D9" i="3" s="1"/>
  <c r="F9" i="3" s="1"/>
  <c r="H9" i="3" s="1"/>
  <c r="J9" i="3" s="1"/>
  <c r="D10" i="3" a="1"/>
  <c r="D10" i="3" s="1"/>
  <c r="F10" i="3" s="1"/>
  <c r="H10" i="3" s="1"/>
  <c r="J10" i="3" s="1"/>
  <c r="D11" i="3" a="1"/>
  <c r="D11" i="3" s="1"/>
  <c r="F11" i="3" s="1"/>
  <c r="H11" i="3" s="1"/>
  <c r="J11" i="3" s="1"/>
  <c r="D12" i="3" a="1"/>
  <c r="D12" i="3" s="1"/>
  <c r="F12" i="3" s="1"/>
  <c r="H12" i="3" s="1"/>
  <c r="J12" i="3" s="1"/>
  <c r="D13" i="3" a="1"/>
  <c r="D13" i="3" s="1"/>
  <c r="F13" i="3" s="1"/>
  <c r="H13" i="3" s="1"/>
  <c r="J13" i="3" s="1"/>
  <c r="D14" i="3" a="1"/>
  <c r="D14" i="3" s="1"/>
  <c r="F14" i="3" s="1"/>
  <c r="H14" i="3" s="1"/>
  <c r="J14" i="3" s="1"/>
  <c r="D15" i="3" a="1"/>
  <c r="D15" i="3" s="1"/>
  <c r="F15" i="3" s="1"/>
  <c r="H15" i="3" s="1"/>
  <c r="J15" i="3" s="1"/>
  <c r="D16" i="3" a="1"/>
  <c r="D16" i="3" s="1"/>
  <c r="F16" i="3" s="1"/>
  <c r="H16" i="3" s="1"/>
  <c r="J16" i="3" s="1"/>
  <c r="D17" i="3" a="1"/>
  <c r="D17" i="3" s="1"/>
  <c r="F17" i="3" s="1"/>
  <c r="H17" i="3" s="1"/>
  <c r="J17" i="3" s="1"/>
  <c r="D18" i="3" a="1"/>
  <c r="D18" i="3" s="1"/>
  <c r="F18" i="3" s="1"/>
  <c r="H18" i="3" s="1"/>
  <c r="J18" i="3" s="1"/>
  <c r="D19" i="3" a="1"/>
  <c r="D19" i="3" s="1"/>
  <c r="F19" i="3" s="1"/>
  <c r="H19" i="3" s="1"/>
  <c r="J19" i="3" s="1"/>
  <c r="D20" i="3" a="1"/>
  <c r="D20" i="3" s="1"/>
  <c r="F20" i="3" s="1"/>
  <c r="H20" i="3" s="1"/>
  <c r="J20" i="3" s="1"/>
  <c r="D21" i="3" a="1"/>
  <c r="D21" i="3" s="1"/>
  <c r="F21" i="3" s="1"/>
  <c r="H21" i="3" s="1"/>
  <c r="J21" i="3" s="1"/>
  <c r="D22" i="3" a="1"/>
  <c r="D22" i="3" s="1"/>
  <c r="F22" i="3" s="1"/>
  <c r="H22" i="3" s="1"/>
  <c r="J22" i="3" s="1"/>
  <c r="D23" i="3" a="1"/>
  <c r="D23" i="3" s="1"/>
  <c r="F23" i="3" s="1"/>
  <c r="H23" i="3" s="1"/>
  <c r="J23" i="3" s="1"/>
  <c r="D24" i="3" a="1"/>
  <c r="D24" i="3" s="1"/>
  <c r="F24" i="3" s="1"/>
  <c r="H24" i="3" s="1"/>
  <c r="J24" i="3" s="1"/>
  <c r="D25" i="3" a="1"/>
  <c r="D25" i="3" s="1"/>
  <c r="F25" i="3" s="1"/>
  <c r="H25" i="3" s="1"/>
  <c r="J25" i="3" s="1"/>
  <c r="D26" i="3" a="1"/>
  <c r="D26" i="3" s="1"/>
  <c r="F26" i="3" s="1"/>
  <c r="H26" i="3" s="1"/>
  <c r="J26" i="3" s="1"/>
  <c r="D27" i="3" a="1"/>
  <c r="D27" i="3" s="1"/>
  <c r="F27" i="3" s="1"/>
  <c r="H27" i="3" s="1"/>
  <c r="J27" i="3" s="1"/>
  <c r="D28" i="3" a="1"/>
  <c r="D28" i="3" s="1"/>
  <c r="F28" i="3" s="1"/>
  <c r="H28" i="3" s="1"/>
  <c r="J28" i="3" s="1"/>
  <c r="D29" i="3" a="1"/>
  <c r="D29" i="3" s="1"/>
  <c r="F29" i="3" s="1"/>
  <c r="H29" i="3" s="1"/>
  <c r="J29" i="3" s="1"/>
  <c r="D30" i="3" a="1"/>
  <c r="D30" i="3" s="1"/>
  <c r="F30" i="3" s="1"/>
  <c r="H30" i="3" s="1"/>
  <c r="J30" i="3" s="1"/>
  <c r="D31" i="3" a="1"/>
  <c r="D31" i="3" s="1"/>
  <c r="F31" i="3" s="1"/>
  <c r="H31" i="3" s="1"/>
  <c r="J31" i="3" s="1"/>
  <c r="D32" i="3" a="1"/>
  <c r="D32" i="3"/>
  <c r="F32" i="3" s="1"/>
  <c r="H32" i="3" s="1"/>
  <c r="J32" i="3" s="1"/>
  <c r="D33" i="3" a="1"/>
  <c r="D33" i="3" s="1"/>
  <c r="F33" i="3" s="1"/>
  <c r="H33" i="3" s="1"/>
  <c r="J33" i="3" s="1"/>
  <c r="D34" i="3" a="1"/>
  <c r="D34" i="3" s="1"/>
  <c r="F34" i="3" s="1"/>
  <c r="H34" i="3" s="1"/>
  <c r="J34" i="3" s="1"/>
  <c r="D35" i="3" a="1"/>
  <c r="D35" i="3" s="1"/>
  <c r="F35" i="3" s="1"/>
  <c r="H35" i="3" s="1"/>
  <c r="J35" i="3" s="1"/>
  <c r="D36" i="3" a="1"/>
  <c r="D36" i="3" s="1"/>
  <c r="F36" i="3" s="1"/>
  <c r="H36" i="3" s="1"/>
  <c r="J36" i="3" s="1"/>
  <c r="D37" i="3" a="1"/>
  <c r="D37" i="3" s="1"/>
  <c r="F37" i="3" s="1"/>
  <c r="H37" i="3" s="1"/>
  <c r="J37" i="3" s="1"/>
  <c r="D38" i="3" a="1"/>
  <c r="D38" i="3" s="1"/>
  <c r="F38" i="3" s="1"/>
  <c r="H38" i="3" s="1"/>
  <c r="J38" i="3" s="1"/>
  <c r="D39" i="3" a="1"/>
  <c r="D39" i="3" s="1"/>
  <c r="F39" i="3" s="1"/>
  <c r="H39" i="3" s="1"/>
  <c r="J39" i="3" s="1"/>
  <c r="D40" i="3" a="1"/>
  <c r="D40" i="3" s="1"/>
  <c r="F40" i="3" s="1"/>
  <c r="H40" i="3" s="1"/>
  <c r="J40" i="3" s="1"/>
  <c r="D41" i="3" a="1"/>
  <c r="D41" i="3" s="1"/>
  <c r="F41" i="3" s="1"/>
  <c r="H41" i="3" s="1"/>
  <c r="J41" i="3" s="1"/>
  <c r="D42" i="3" a="1"/>
  <c r="D42" i="3" s="1"/>
  <c r="F42" i="3" s="1"/>
  <c r="H42" i="3" s="1"/>
  <c r="J42" i="3" s="1"/>
  <c r="D43" i="3" a="1"/>
  <c r="D43" i="3" s="1"/>
  <c r="F43" i="3" s="1"/>
  <c r="H43" i="3" s="1"/>
  <c r="J43" i="3" s="1"/>
  <c r="D44" i="3" a="1"/>
  <c r="D44" i="3" s="1"/>
  <c r="F44" i="3" s="1"/>
  <c r="H44" i="3" s="1"/>
  <c r="J44" i="3" s="1"/>
  <c r="D45" i="3" a="1"/>
  <c r="D45" i="3" s="1"/>
  <c r="F45" i="3" s="1"/>
  <c r="H45" i="3" s="1"/>
  <c r="J45" i="3" s="1"/>
  <c r="D46" i="3" a="1"/>
  <c r="D46" i="3" s="1"/>
  <c r="F46" i="3" s="1"/>
  <c r="H46" i="3" s="1"/>
  <c r="J46" i="3" s="1"/>
  <c r="D47" i="3" a="1"/>
  <c r="D47" i="3" s="1"/>
  <c r="F47" i="3" s="1"/>
  <c r="H47" i="3" s="1"/>
  <c r="J47" i="3" s="1"/>
  <c r="D48" i="3" a="1"/>
  <c r="D48" i="3" s="1"/>
  <c r="F48" i="3" s="1"/>
  <c r="H48" i="3" s="1"/>
  <c r="J48" i="3" s="1"/>
  <c r="D49" i="3" a="1"/>
  <c r="D49" i="3" s="1"/>
  <c r="F49" i="3" s="1"/>
  <c r="H49" i="3" s="1"/>
  <c r="J49" i="3" s="1"/>
  <c r="D50" i="3" a="1"/>
  <c r="D50" i="3" s="1"/>
  <c r="F50" i="3" s="1"/>
  <c r="H50" i="3" s="1"/>
  <c r="J50" i="3" s="1"/>
  <c r="D51" i="3" a="1"/>
  <c r="D51" i="3" s="1"/>
  <c r="F51" i="3" s="1"/>
  <c r="H51" i="3" s="1"/>
  <c r="J51" i="3" s="1"/>
  <c r="D52" i="3" a="1"/>
  <c r="D52" i="3" s="1"/>
  <c r="F52" i="3" s="1"/>
  <c r="H52" i="3" s="1"/>
  <c r="J52" i="3" s="1"/>
  <c r="D53" i="3" a="1"/>
  <c r="D53" i="3" s="1"/>
  <c r="F53" i="3" s="1"/>
  <c r="H53" i="3" s="1"/>
  <c r="J53" i="3" s="1"/>
  <c r="D54" i="3" a="1"/>
  <c r="D54" i="3" s="1"/>
  <c r="F54" i="3" s="1"/>
  <c r="H54" i="3" s="1"/>
  <c r="J54" i="3" s="1"/>
  <c r="D55" i="3" a="1"/>
  <c r="D55" i="3" s="1"/>
  <c r="F55" i="3" s="1"/>
  <c r="H55" i="3" s="1"/>
  <c r="J55" i="3" s="1"/>
  <c r="D56" i="3" a="1"/>
  <c r="D56" i="3" s="1"/>
  <c r="F56" i="3" s="1"/>
  <c r="H56" i="3" s="1"/>
  <c r="J56" i="3" s="1"/>
  <c r="D57" i="3" a="1"/>
  <c r="D57" i="3" s="1"/>
  <c r="F57" i="3" s="1"/>
  <c r="H57" i="3" s="1"/>
  <c r="J57" i="3" s="1"/>
  <c r="D58" i="3" a="1"/>
  <c r="D58" i="3" s="1"/>
  <c r="F58" i="3" s="1"/>
  <c r="H58" i="3" s="1"/>
  <c r="J58" i="3" s="1"/>
  <c r="D59" i="3" a="1"/>
  <c r="D59" i="3" s="1"/>
  <c r="F59" i="3" s="1"/>
  <c r="H59" i="3" s="1"/>
  <c r="J59" i="3" s="1"/>
  <c r="D60" i="3" a="1"/>
  <c r="D60" i="3" s="1"/>
  <c r="F60" i="3" s="1"/>
  <c r="H60" i="3" s="1"/>
  <c r="J60" i="3" s="1"/>
  <c r="D61" i="3" a="1"/>
  <c r="D61" i="3" s="1"/>
  <c r="F61" i="3" s="1"/>
  <c r="H61" i="3" s="1"/>
  <c r="J61" i="3" s="1"/>
  <c r="D62" i="3" a="1"/>
  <c r="D62" i="3" s="1"/>
  <c r="F62" i="3" s="1"/>
  <c r="H62" i="3" s="1"/>
  <c r="J62" i="3" s="1"/>
  <c r="D63" i="3" a="1"/>
  <c r="D63" i="3" s="1"/>
  <c r="F63" i="3" s="1"/>
  <c r="H63" i="3" s="1"/>
  <c r="J63" i="3" s="1"/>
  <c r="D64" i="3" a="1"/>
  <c r="D64" i="3" s="1"/>
  <c r="F64" i="3" s="1"/>
  <c r="H64" i="3" s="1"/>
  <c r="J64" i="3" s="1"/>
  <c r="D65" i="3" a="1"/>
  <c r="D65" i="3" s="1"/>
  <c r="F65" i="3" s="1"/>
  <c r="H65" i="3" s="1"/>
  <c r="J65" i="3" s="1"/>
  <c r="D66" i="3" a="1"/>
  <c r="D66" i="3" s="1"/>
  <c r="F66" i="3" s="1"/>
  <c r="H66" i="3" s="1"/>
  <c r="J66" i="3" s="1"/>
  <c r="D67" i="3" a="1"/>
  <c r="D67" i="3" s="1"/>
  <c r="F67" i="3" s="1"/>
  <c r="H67" i="3" s="1"/>
  <c r="J67" i="3" s="1"/>
  <c r="D68" i="3" a="1"/>
  <c r="D68" i="3" s="1"/>
  <c r="F68" i="3" s="1"/>
  <c r="H68" i="3" s="1"/>
  <c r="J68" i="3" s="1"/>
  <c r="D69" i="3" a="1"/>
  <c r="D69" i="3" s="1"/>
  <c r="F69" i="3" s="1"/>
  <c r="H69" i="3" s="1"/>
  <c r="J69" i="3" s="1"/>
  <c r="D70" i="3" a="1"/>
  <c r="D70" i="3" s="1"/>
  <c r="F70" i="3" s="1"/>
  <c r="H70" i="3" s="1"/>
  <c r="J70" i="3" s="1"/>
  <c r="D71" i="3" a="1"/>
  <c r="D71" i="3" s="1"/>
  <c r="F71" i="3" s="1"/>
  <c r="H71" i="3" s="1"/>
  <c r="J71" i="3" s="1"/>
  <c r="D72" i="3" a="1"/>
  <c r="D72" i="3" s="1"/>
  <c r="F72" i="3" s="1"/>
  <c r="H72" i="3" s="1"/>
  <c r="J72" i="3" s="1"/>
  <c r="D73" i="3" a="1"/>
  <c r="D73" i="3" s="1"/>
  <c r="F73" i="3" s="1"/>
  <c r="H73" i="3" s="1"/>
  <c r="J73" i="3" s="1"/>
  <c r="D74" i="3" a="1"/>
  <c r="D74" i="3" s="1"/>
  <c r="F74" i="3" s="1"/>
  <c r="H74" i="3" s="1"/>
  <c r="J74" i="3" s="1"/>
  <c r="D75" i="3" a="1"/>
  <c r="D75" i="3" s="1"/>
  <c r="F75" i="3" s="1"/>
  <c r="H75" i="3" s="1"/>
  <c r="J75" i="3" s="1"/>
  <c r="D76" i="3" a="1"/>
  <c r="D76" i="3" s="1"/>
  <c r="F76" i="3" s="1"/>
  <c r="H76" i="3" s="1"/>
  <c r="J76" i="3" s="1"/>
  <c r="D77" i="3" a="1"/>
  <c r="D77" i="3" s="1"/>
  <c r="F77" i="3" s="1"/>
  <c r="H77" i="3" s="1"/>
  <c r="J77" i="3" s="1"/>
  <c r="D78" i="3" a="1"/>
  <c r="D78" i="3" s="1"/>
  <c r="F78" i="3" s="1"/>
  <c r="H78" i="3" s="1"/>
  <c r="J78" i="3" s="1"/>
  <c r="D79" i="3" a="1"/>
  <c r="D79" i="3" s="1"/>
  <c r="F79" i="3" s="1"/>
  <c r="H79" i="3" s="1"/>
  <c r="J79" i="3" s="1"/>
  <c r="D80" i="3" a="1"/>
  <c r="D80" i="3" s="1"/>
  <c r="F80" i="3" s="1"/>
  <c r="H80" i="3" s="1"/>
  <c r="J80" i="3" s="1"/>
  <c r="D81" i="3" a="1"/>
  <c r="D81" i="3" s="1"/>
  <c r="F81" i="3" s="1"/>
  <c r="H81" i="3" s="1"/>
  <c r="J81" i="3" s="1"/>
  <c r="D82" i="3" a="1"/>
  <c r="D82" i="3" s="1"/>
  <c r="F82" i="3" s="1"/>
  <c r="H82" i="3" s="1"/>
  <c r="J82" i="3" s="1"/>
  <c r="D83" i="3" a="1"/>
  <c r="D83" i="3" s="1"/>
  <c r="F83" i="3" s="1"/>
  <c r="H83" i="3" s="1"/>
  <c r="J83" i="3" s="1"/>
  <c r="D84" i="3" a="1"/>
  <c r="D84" i="3" s="1"/>
  <c r="F84" i="3" s="1"/>
  <c r="H84" i="3" s="1"/>
  <c r="J84" i="3" s="1"/>
  <c r="D85" i="3" a="1"/>
  <c r="D85" i="3" s="1"/>
  <c r="F85" i="3" s="1"/>
  <c r="H85" i="3" s="1"/>
  <c r="J85" i="3" s="1"/>
  <c r="D86" i="3" a="1"/>
  <c r="D86" i="3" s="1"/>
  <c r="F86" i="3" s="1"/>
  <c r="H86" i="3" s="1"/>
  <c r="J86" i="3" s="1"/>
  <c r="D87" i="3" a="1"/>
  <c r="D87" i="3" s="1"/>
  <c r="F87" i="3" s="1"/>
  <c r="H87" i="3" s="1"/>
  <c r="J87" i="3" s="1"/>
  <c r="D88" i="3" a="1"/>
  <c r="D88" i="3" s="1"/>
  <c r="F88" i="3" s="1"/>
  <c r="H88" i="3" s="1"/>
  <c r="J88" i="3" s="1"/>
  <c r="D89" i="3" a="1"/>
  <c r="D89" i="3" s="1"/>
  <c r="F89" i="3" s="1"/>
  <c r="H89" i="3" s="1"/>
  <c r="J89" i="3" s="1"/>
  <c r="D90" i="3" a="1"/>
  <c r="D90" i="3" s="1"/>
  <c r="F90" i="3" s="1"/>
  <c r="H90" i="3" s="1"/>
  <c r="J90" i="3" s="1"/>
  <c r="D91" i="3" a="1"/>
  <c r="D91" i="3" s="1"/>
  <c r="F91" i="3" s="1"/>
  <c r="H91" i="3" s="1"/>
  <c r="J91" i="3" s="1"/>
  <c r="D92" i="3" a="1"/>
  <c r="D92" i="3" s="1"/>
  <c r="F92" i="3" s="1"/>
  <c r="H92" i="3" s="1"/>
  <c r="J92" i="3" s="1"/>
  <c r="D93" i="3" a="1"/>
  <c r="D93" i="3" s="1"/>
  <c r="F93" i="3" s="1"/>
  <c r="H93" i="3" s="1"/>
  <c r="J93" i="3" s="1"/>
  <c r="D94" i="3" a="1"/>
  <c r="D94" i="3" s="1"/>
  <c r="F94" i="3" s="1"/>
  <c r="H94" i="3" s="1"/>
  <c r="J94" i="3" s="1"/>
  <c r="D95" i="3" a="1"/>
  <c r="D95" i="3" s="1"/>
  <c r="F95" i="3" s="1"/>
  <c r="H95" i="3" s="1"/>
  <c r="J95" i="3" s="1"/>
  <c r="D96" i="3" a="1"/>
  <c r="D96" i="3" s="1"/>
  <c r="F96" i="3" s="1"/>
  <c r="H96" i="3" s="1"/>
  <c r="J96" i="3" s="1"/>
  <c r="D97" i="3" a="1"/>
  <c r="D97" i="3" s="1"/>
  <c r="F97" i="3" s="1"/>
  <c r="H97" i="3" s="1"/>
  <c r="J97" i="3" s="1"/>
  <c r="D98" i="3" a="1"/>
  <c r="D98" i="3" s="1"/>
  <c r="F98" i="3" s="1"/>
  <c r="H98" i="3" s="1"/>
  <c r="J98" i="3" s="1"/>
  <c r="D99" i="3" a="1"/>
  <c r="D99" i="3" s="1"/>
  <c r="F99" i="3" s="1"/>
  <c r="H99" i="3" s="1"/>
  <c r="J99" i="3" s="1"/>
  <c r="D100" i="3" a="1"/>
  <c r="D100" i="3" s="1"/>
  <c r="F100" i="3" s="1"/>
  <c r="H100" i="3" s="1"/>
  <c r="J100" i="3" s="1"/>
  <c r="D101" i="3" a="1"/>
  <c r="D101" i="3" s="1"/>
  <c r="F101" i="3" s="1"/>
  <c r="H101" i="3" s="1"/>
  <c r="J101" i="3" s="1"/>
  <c r="D102" i="3" a="1"/>
  <c r="D102" i="3" s="1"/>
  <c r="F102" i="3" s="1"/>
  <c r="H102" i="3" s="1"/>
  <c r="J102" i="3" s="1"/>
  <c r="D103" i="3" a="1"/>
  <c r="D103" i="3" s="1"/>
  <c r="F103" i="3" s="1"/>
  <c r="H103" i="3" s="1"/>
  <c r="J103" i="3" s="1"/>
  <c r="D104" i="3" a="1"/>
  <c r="D104" i="3"/>
  <c r="F104" i="3" s="1"/>
  <c r="H104" i="3" s="1"/>
  <c r="J104" i="3" s="1"/>
  <c r="D105" i="3" a="1"/>
  <c r="D105" i="3" s="1"/>
  <c r="F105" i="3" s="1"/>
  <c r="H105" i="3" s="1"/>
  <c r="J105" i="3" s="1"/>
  <c r="D106" i="3" a="1"/>
  <c r="D106" i="3" s="1"/>
  <c r="F106" i="3" s="1"/>
  <c r="H106" i="3" s="1"/>
  <c r="J106" i="3" s="1"/>
  <c r="D107" i="3" a="1"/>
  <c r="D107" i="3" s="1"/>
  <c r="F107" i="3" s="1"/>
  <c r="H107" i="3" s="1"/>
  <c r="J107" i="3" s="1"/>
  <c r="D108" i="3" a="1"/>
  <c r="D108" i="3" s="1"/>
  <c r="F108" i="3" s="1"/>
  <c r="H108" i="3" s="1"/>
  <c r="J108" i="3" s="1"/>
  <c r="D109" i="3" a="1"/>
  <c r="D109" i="3" s="1"/>
  <c r="F109" i="3" s="1"/>
  <c r="H109" i="3" s="1"/>
  <c r="J109" i="3" s="1"/>
  <c r="D110" i="3" a="1"/>
  <c r="D110" i="3" s="1"/>
  <c r="F110" i="3" s="1"/>
  <c r="H110" i="3" s="1"/>
  <c r="J110" i="3" s="1"/>
  <c r="D111" i="3" a="1"/>
  <c r="D111" i="3" s="1"/>
  <c r="F111" i="3" s="1"/>
  <c r="H111" i="3" s="1"/>
  <c r="J111" i="3" s="1"/>
  <c r="D112" i="3" a="1"/>
  <c r="D112" i="3" s="1"/>
  <c r="F112" i="3" s="1"/>
  <c r="H112" i="3" s="1"/>
  <c r="J112" i="3" s="1"/>
  <c r="D113" i="3" a="1"/>
  <c r="D113" i="3" s="1"/>
  <c r="F113" i="3" s="1"/>
  <c r="H113" i="3" s="1"/>
  <c r="J113" i="3" s="1"/>
  <c r="D114" i="3" a="1"/>
  <c r="D114" i="3" s="1"/>
  <c r="F114" i="3" s="1"/>
  <c r="H114" i="3" s="1"/>
  <c r="J114" i="3" s="1"/>
  <c r="D115" i="3" a="1"/>
  <c r="D115" i="3" s="1"/>
  <c r="F115" i="3" s="1"/>
  <c r="H115" i="3" s="1"/>
  <c r="J115" i="3" s="1"/>
  <c r="D116" i="3" a="1"/>
  <c r="D116" i="3" s="1"/>
  <c r="F116" i="3" s="1"/>
  <c r="H116" i="3" s="1"/>
  <c r="J116" i="3" s="1"/>
  <c r="D117" i="3" a="1"/>
  <c r="D117" i="3" s="1"/>
  <c r="F117" i="3" s="1"/>
  <c r="H117" i="3" s="1"/>
  <c r="J117" i="3" s="1"/>
  <c r="D118" i="3" a="1"/>
  <c r="D118" i="3" s="1"/>
  <c r="F118" i="3" s="1"/>
  <c r="H118" i="3" s="1"/>
  <c r="J118" i="3" s="1"/>
  <c r="D119" i="3" a="1"/>
  <c r="D119" i="3" s="1"/>
  <c r="F119" i="3" s="1"/>
  <c r="H119" i="3" s="1"/>
  <c r="J119" i="3" s="1"/>
  <c r="D120" i="3" a="1"/>
  <c r="D120" i="3" s="1"/>
  <c r="F120" i="3" s="1"/>
  <c r="H120" i="3" s="1"/>
  <c r="J120" i="3" s="1"/>
  <c r="D121" i="3" a="1"/>
  <c r="D121" i="3" s="1"/>
  <c r="F121" i="3" s="1"/>
  <c r="H121" i="3" s="1"/>
  <c r="J121" i="3" s="1"/>
  <c r="D122" i="3" a="1"/>
  <c r="D122" i="3" s="1"/>
  <c r="F122" i="3" s="1"/>
  <c r="H122" i="3" s="1"/>
  <c r="J122" i="3" s="1"/>
  <c r="D123" i="3" a="1"/>
  <c r="D123" i="3" s="1"/>
  <c r="F123" i="3" s="1"/>
  <c r="H123" i="3" s="1"/>
  <c r="J123" i="3" s="1"/>
  <c r="D124" i="3" a="1"/>
  <c r="D124" i="3" s="1"/>
  <c r="F124" i="3" s="1"/>
  <c r="H124" i="3" s="1"/>
  <c r="J124" i="3" s="1"/>
  <c r="D125" i="3" a="1"/>
  <c r="D125" i="3" s="1"/>
  <c r="F125" i="3" s="1"/>
  <c r="H125" i="3" s="1"/>
  <c r="J125" i="3" s="1"/>
  <c r="D126" i="3" a="1"/>
  <c r="D126" i="3" s="1"/>
  <c r="F126" i="3" s="1"/>
  <c r="H126" i="3" s="1"/>
  <c r="J126" i="3" s="1"/>
  <c r="D127" i="3" a="1"/>
  <c r="D127" i="3" s="1"/>
  <c r="F127" i="3" s="1"/>
  <c r="H127" i="3" s="1"/>
  <c r="J127" i="3" s="1"/>
  <c r="D128" i="3" a="1"/>
  <c r="D128" i="3" s="1"/>
  <c r="F128" i="3" s="1"/>
  <c r="H128" i="3" s="1"/>
  <c r="J128" i="3" s="1"/>
  <c r="D129" i="3" a="1"/>
  <c r="D129" i="3" s="1"/>
  <c r="F129" i="3" s="1"/>
  <c r="H129" i="3" s="1"/>
  <c r="J129" i="3" s="1"/>
  <c r="D130" i="3" a="1"/>
  <c r="D130" i="3" s="1"/>
  <c r="F130" i="3" s="1"/>
  <c r="H130" i="3" s="1"/>
  <c r="J130" i="3" s="1"/>
  <c r="D131" i="3" a="1"/>
  <c r="D131" i="3" s="1"/>
  <c r="F131" i="3" s="1"/>
  <c r="H131" i="3" s="1"/>
  <c r="J131" i="3" s="1"/>
  <c r="D132" i="3" a="1"/>
  <c r="D132" i="3" s="1"/>
  <c r="F132" i="3" s="1"/>
  <c r="H132" i="3" s="1"/>
  <c r="J132" i="3" s="1"/>
  <c r="D133" i="3" a="1"/>
  <c r="D133" i="3" s="1"/>
  <c r="F133" i="3" s="1"/>
  <c r="H133" i="3" s="1"/>
  <c r="J133" i="3" s="1"/>
  <c r="D134" i="3" a="1"/>
  <c r="D134" i="3" s="1"/>
  <c r="F134" i="3" s="1"/>
  <c r="H134" i="3" s="1"/>
  <c r="J134" i="3" s="1"/>
  <c r="D135" i="3" a="1"/>
  <c r="D135" i="3" s="1"/>
  <c r="F135" i="3" s="1"/>
  <c r="H135" i="3" s="1"/>
  <c r="J135" i="3" s="1"/>
  <c r="D136" i="3" a="1"/>
  <c r="D136" i="3" s="1"/>
  <c r="F136" i="3" s="1"/>
  <c r="H136" i="3" s="1"/>
  <c r="J136" i="3" s="1"/>
  <c r="D137" i="3" a="1"/>
  <c r="D137" i="3" s="1"/>
  <c r="F137" i="3" s="1"/>
  <c r="H137" i="3" s="1"/>
  <c r="J137" i="3" s="1"/>
  <c r="D138" i="3" a="1"/>
  <c r="D138" i="3" s="1"/>
  <c r="F138" i="3" s="1"/>
  <c r="H138" i="3" s="1"/>
  <c r="J138" i="3" s="1"/>
  <c r="D139" i="3" a="1"/>
  <c r="D139" i="3" s="1"/>
  <c r="F139" i="3" s="1"/>
  <c r="H139" i="3" s="1"/>
  <c r="J139" i="3" s="1"/>
  <c r="D140" i="3" a="1"/>
  <c r="D140" i="3" s="1"/>
  <c r="F140" i="3" s="1"/>
  <c r="H140" i="3" s="1"/>
  <c r="J140" i="3" s="1"/>
  <c r="D141" i="3" a="1"/>
  <c r="D141" i="3" s="1"/>
  <c r="F141" i="3" s="1"/>
  <c r="H141" i="3" s="1"/>
  <c r="J141" i="3" s="1"/>
  <c r="D142" i="3" a="1"/>
  <c r="D142" i="3" s="1"/>
  <c r="F142" i="3" s="1"/>
  <c r="H142" i="3" s="1"/>
  <c r="J142" i="3" s="1"/>
  <c r="D143" i="3" a="1"/>
  <c r="D143" i="3" s="1"/>
  <c r="F143" i="3" s="1"/>
  <c r="H143" i="3" s="1"/>
  <c r="J143" i="3" s="1"/>
  <c r="D144" i="3" a="1"/>
  <c r="D144" i="3" s="1"/>
  <c r="F144" i="3" s="1"/>
  <c r="H144" i="3" s="1"/>
  <c r="J144" i="3" s="1"/>
  <c r="D145" i="3" a="1"/>
  <c r="D145" i="3" s="1"/>
  <c r="F145" i="3" s="1"/>
  <c r="H145" i="3" s="1"/>
  <c r="J145" i="3" s="1"/>
  <c r="D146" i="3" a="1"/>
  <c r="D146" i="3" s="1"/>
  <c r="F146" i="3" s="1"/>
  <c r="H146" i="3" s="1"/>
  <c r="J146" i="3" s="1"/>
  <c r="D147" i="3" a="1"/>
  <c r="D147" i="3" s="1"/>
  <c r="F147" i="3" s="1"/>
  <c r="H147" i="3" s="1"/>
  <c r="J147" i="3" s="1"/>
  <c r="D148" i="3" a="1"/>
  <c r="D148" i="3" s="1"/>
  <c r="F148" i="3" s="1"/>
  <c r="H148" i="3" s="1"/>
  <c r="J148" i="3" s="1"/>
  <c r="D149" i="3" a="1"/>
  <c r="D149" i="3"/>
  <c r="F149" i="3" s="1"/>
  <c r="H149" i="3" s="1"/>
  <c r="J149" i="3" s="1"/>
  <c r="D150" i="3" a="1"/>
  <c r="D150" i="3" s="1"/>
  <c r="F150" i="3" s="1"/>
  <c r="H150" i="3" s="1"/>
  <c r="J150" i="3" s="1"/>
  <c r="D151" i="3" a="1"/>
  <c r="D151" i="3" s="1"/>
  <c r="F151" i="3" s="1"/>
  <c r="H151" i="3" s="1"/>
  <c r="J151" i="3" s="1"/>
  <c r="D152" i="3" a="1"/>
  <c r="D152" i="3" s="1"/>
  <c r="F152" i="3" s="1"/>
  <c r="H152" i="3" s="1"/>
  <c r="J152" i="3" s="1"/>
  <c r="D153" i="3" a="1"/>
  <c r="D153" i="3" s="1"/>
  <c r="F153" i="3" s="1"/>
  <c r="H153" i="3" s="1"/>
  <c r="J153" i="3" s="1"/>
  <c r="D154" i="3" a="1"/>
  <c r="D154" i="3" s="1"/>
  <c r="F154" i="3" s="1"/>
  <c r="H154" i="3" s="1"/>
  <c r="J154" i="3" s="1"/>
  <c r="D155" i="3" a="1"/>
  <c r="D155" i="3" s="1"/>
  <c r="F155" i="3" s="1"/>
  <c r="H155" i="3" s="1"/>
  <c r="J155" i="3" s="1"/>
  <c r="D156" i="3" a="1"/>
  <c r="D156" i="3" s="1"/>
  <c r="F156" i="3" s="1"/>
  <c r="H156" i="3" s="1"/>
  <c r="J156" i="3" s="1"/>
  <c r="D157" i="3" a="1"/>
  <c r="D157" i="3" s="1"/>
  <c r="F157" i="3" s="1"/>
  <c r="H157" i="3" s="1"/>
  <c r="J157" i="3" s="1"/>
  <c r="D158" i="3" a="1"/>
  <c r="D158" i="3" s="1"/>
  <c r="F158" i="3" s="1"/>
  <c r="H158" i="3" s="1"/>
  <c r="J158" i="3" s="1"/>
  <c r="D159" i="3" a="1"/>
  <c r="D159" i="3" s="1"/>
  <c r="F159" i="3" s="1"/>
  <c r="H159" i="3" s="1"/>
  <c r="J159" i="3" s="1"/>
  <c r="D160" i="3" a="1"/>
  <c r="D160" i="3" s="1"/>
  <c r="F160" i="3" s="1"/>
  <c r="H160" i="3" s="1"/>
  <c r="J160" i="3" s="1"/>
  <c r="D161" i="3" a="1"/>
  <c r="D161" i="3" s="1"/>
  <c r="F161" i="3" s="1"/>
  <c r="H161" i="3" s="1"/>
  <c r="J161" i="3" s="1"/>
  <c r="D162" i="3" a="1"/>
  <c r="D162" i="3" s="1"/>
  <c r="F162" i="3" s="1"/>
  <c r="H162" i="3" s="1"/>
  <c r="J162" i="3" s="1"/>
  <c r="D163" i="3" a="1"/>
  <c r="D163" i="3" s="1"/>
  <c r="F163" i="3" s="1"/>
  <c r="H163" i="3" s="1"/>
  <c r="J163" i="3" s="1"/>
  <c r="D164" i="3" a="1"/>
  <c r="D164" i="3" s="1"/>
  <c r="F164" i="3" s="1"/>
  <c r="H164" i="3" s="1"/>
  <c r="J164" i="3" s="1"/>
  <c r="D165" i="3" a="1"/>
  <c r="D165" i="3" s="1"/>
  <c r="F165" i="3" s="1"/>
  <c r="H165" i="3" s="1"/>
  <c r="J165" i="3" s="1"/>
  <c r="D166" i="3" a="1"/>
  <c r="D166" i="3" s="1"/>
  <c r="F166" i="3" s="1"/>
  <c r="H166" i="3" s="1"/>
  <c r="J166" i="3" s="1"/>
  <c r="D167" i="3" a="1"/>
  <c r="D167" i="3" s="1"/>
  <c r="F167" i="3" s="1"/>
  <c r="H167" i="3" s="1"/>
  <c r="J167" i="3" s="1"/>
  <c r="D168" i="3" a="1"/>
  <c r="D168" i="3" s="1"/>
  <c r="F168" i="3" s="1"/>
  <c r="H168" i="3" s="1"/>
  <c r="J168" i="3" s="1"/>
  <c r="D169" i="3" a="1"/>
  <c r="D169" i="3" s="1"/>
  <c r="F169" i="3" s="1"/>
  <c r="H169" i="3" s="1"/>
  <c r="J169" i="3" s="1"/>
  <c r="D170" i="3" a="1"/>
  <c r="D170" i="3" s="1"/>
  <c r="F170" i="3" s="1"/>
  <c r="H170" i="3" s="1"/>
  <c r="J170" i="3" s="1"/>
  <c r="D171" i="3" a="1"/>
  <c r="D171" i="3" s="1"/>
  <c r="F171" i="3" s="1"/>
  <c r="H171" i="3" s="1"/>
  <c r="J171" i="3" s="1"/>
  <c r="D172" i="3" a="1"/>
  <c r="D172" i="3" s="1"/>
  <c r="F172" i="3" s="1"/>
  <c r="H172" i="3" s="1"/>
  <c r="J172" i="3" s="1"/>
  <c r="D173" i="3" a="1"/>
  <c r="D173" i="3" s="1"/>
  <c r="F173" i="3" s="1"/>
  <c r="H173" i="3" s="1"/>
  <c r="J173" i="3" s="1"/>
  <c r="D174" i="3" a="1"/>
  <c r="D174" i="3" s="1"/>
  <c r="F174" i="3" s="1"/>
  <c r="H174" i="3" s="1"/>
  <c r="J174" i="3" s="1"/>
  <c r="D175" i="3" a="1"/>
  <c r="D175" i="3" s="1"/>
  <c r="F175" i="3" s="1"/>
  <c r="H175" i="3" s="1"/>
  <c r="J175" i="3" s="1"/>
  <c r="D176" i="3" a="1"/>
  <c r="D176" i="3" s="1"/>
  <c r="F176" i="3" s="1"/>
  <c r="H176" i="3" s="1"/>
  <c r="J176" i="3" s="1"/>
  <c r="D177" i="3" a="1"/>
  <c r="D177" i="3" s="1"/>
  <c r="F177" i="3" s="1"/>
  <c r="H177" i="3" s="1"/>
  <c r="J177" i="3" s="1"/>
  <c r="D178" i="3" a="1"/>
  <c r="D178" i="3" s="1"/>
  <c r="F178" i="3" s="1"/>
  <c r="H178" i="3" s="1"/>
  <c r="J178" i="3" s="1"/>
  <c r="D179" i="3" a="1"/>
  <c r="D179" i="3" s="1"/>
  <c r="F179" i="3" s="1"/>
  <c r="H179" i="3" s="1"/>
  <c r="J179" i="3" s="1"/>
  <c r="D180" i="3" a="1"/>
  <c r="D180" i="3" s="1"/>
  <c r="F180" i="3" s="1"/>
  <c r="H180" i="3" s="1"/>
  <c r="J180" i="3" s="1"/>
  <c r="D181" i="3" a="1"/>
  <c r="D181" i="3" s="1"/>
  <c r="F181" i="3" s="1"/>
  <c r="H181" i="3" s="1"/>
  <c r="J181" i="3" s="1"/>
  <c r="D182" i="3" a="1"/>
  <c r="D182" i="3" s="1"/>
  <c r="F182" i="3" s="1"/>
  <c r="H182" i="3" s="1"/>
  <c r="J182" i="3" s="1"/>
  <c r="D183" i="3" a="1"/>
  <c r="D183" i="3" s="1"/>
  <c r="F183" i="3" s="1"/>
  <c r="H183" i="3" s="1"/>
  <c r="J183" i="3" s="1"/>
  <c r="D184" i="3" a="1"/>
  <c r="D184" i="3" s="1"/>
  <c r="F184" i="3" s="1"/>
  <c r="H184" i="3" s="1"/>
  <c r="J184" i="3" s="1"/>
  <c r="D185" i="3" a="1"/>
  <c r="D185" i="3" s="1"/>
  <c r="F185" i="3" s="1"/>
  <c r="H185" i="3" s="1"/>
  <c r="J185" i="3" s="1"/>
  <c r="D186" i="3" a="1"/>
  <c r="D186" i="3" s="1"/>
  <c r="F186" i="3" s="1"/>
  <c r="H186" i="3" s="1"/>
  <c r="J186" i="3" s="1"/>
  <c r="D187" i="3" a="1"/>
  <c r="D187" i="3" s="1"/>
  <c r="F187" i="3" s="1"/>
  <c r="H187" i="3" s="1"/>
  <c r="J187" i="3" s="1"/>
  <c r="D188" i="3" a="1"/>
  <c r="D188" i="3" s="1"/>
  <c r="F188" i="3" s="1"/>
  <c r="H188" i="3" s="1"/>
  <c r="J188" i="3" s="1"/>
  <c r="D189" i="3" a="1"/>
  <c r="D189" i="3" s="1"/>
  <c r="F189" i="3" s="1"/>
  <c r="H189" i="3" s="1"/>
  <c r="J189" i="3" s="1"/>
  <c r="D190" i="3" a="1"/>
  <c r="D190" i="3" s="1"/>
  <c r="F190" i="3" s="1"/>
  <c r="H190" i="3" s="1"/>
  <c r="J190" i="3" s="1"/>
  <c r="D191" i="3" a="1"/>
  <c r="D191" i="3" s="1"/>
  <c r="F191" i="3" s="1"/>
  <c r="H191" i="3" s="1"/>
  <c r="J191" i="3" s="1"/>
  <c r="D192" i="3" a="1"/>
  <c r="D192" i="3" s="1"/>
  <c r="F192" i="3" s="1"/>
  <c r="H192" i="3" s="1"/>
  <c r="J192" i="3" s="1"/>
  <c r="D193" i="3" a="1"/>
  <c r="D193" i="3" s="1"/>
  <c r="F193" i="3" s="1"/>
  <c r="H193" i="3" s="1"/>
  <c r="J193" i="3" s="1"/>
  <c r="D194" i="3" a="1"/>
  <c r="D194" i="3" s="1"/>
  <c r="F194" i="3" s="1"/>
  <c r="H194" i="3" s="1"/>
  <c r="J194" i="3" s="1"/>
  <c r="D195" i="3" a="1"/>
  <c r="D195" i="3" s="1"/>
  <c r="F195" i="3" s="1"/>
  <c r="H195" i="3" s="1"/>
  <c r="J195" i="3" s="1"/>
  <c r="D196" i="3" a="1"/>
  <c r="D196" i="3" s="1"/>
  <c r="F196" i="3" s="1"/>
  <c r="H196" i="3" s="1"/>
  <c r="J196" i="3" s="1"/>
  <c r="D197" i="3" a="1"/>
  <c r="D197" i="3" s="1"/>
  <c r="F197" i="3" s="1"/>
  <c r="H197" i="3" s="1"/>
  <c r="J197" i="3" s="1"/>
  <c r="D198" i="3" a="1"/>
  <c r="D198" i="3" s="1"/>
  <c r="F198" i="3" s="1"/>
  <c r="H198" i="3" s="1"/>
  <c r="J198" i="3" s="1"/>
  <c r="D199" i="3" a="1"/>
  <c r="D199" i="3" s="1"/>
  <c r="F199" i="3" s="1"/>
  <c r="H199" i="3" s="1"/>
  <c r="J199" i="3" s="1"/>
  <c r="D200" i="3" a="1"/>
  <c r="D200" i="3" s="1"/>
  <c r="F200" i="3" s="1"/>
  <c r="H200" i="3" s="1"/>
  <c r="J200" i="3" s="1"/>
  <c r="D201" i="3" a="1"/>
  <c r="D201" i="3" s="1"/>
  <c r="F201" i="3" s="1"/>
  <c r="H201" i="3" s="1"/>
  <c r="J201" i="3" s="1"/>
  <c r="D202" i="3" a="1"/>
  <c r="D202" i="3" s="1"/>
  <c r="F202" i="3" s="1"/>
  <c r="H202" i="3" s="1"/>
  <c r="J202" i="3" s="1"/>
  <c r="D203" i="3" a="1"/>
  <c r="D203" i="3" s="1"/>
  <c r="F203" i="3" s="1"/>
  <c r="H203" i="3" s="1"/>
  <c r="J203" i="3" s="1"/>
  <c r="D204" i="3" a="1"/>
  <c r="D204" i="3" s="1"/>
  <c r="F204" i="3" s="1"/>
  <c r="H204" i="3" s="1"/>
  <c r="J204" i="3" s="1"/>
  <c r="D205" i="3" a="1"/>
  <c r="D205" i="3" s="1"/>
  <c r="F205" i="3" s="1"/>
  <c r="H205" i="3" s="1"/>
  <c r="J205" i="3" s="1"/>
  <c r="D206" i="3" a="1"/>
  <c r="D206" i="3" s="1"/>
  <c r="F206" i="3" s="1"/>
  <c r="H206" i="3" s="1"/>
  <c r="J206" i="3" s="1"/>
  <c r="D207" i="3" a="1"/>
  <c r="D207" i="3" s="1"/>
  <c r="F207" i="3" s="1"/>
  <c r="H207" i="3" s="1"/>
  <c r="J207" i="3" s="1"/>
  <c r="D208" i="3" a="1"/>
  <c r="D208" i="3" s="1"/>
  <c r="F208" i="3" s="1"/>
  <c r="H208" i="3" s="1"/>
  <c r="J208" i="3" s="1"/>
  <c r="D209" i="3" a="1"/>
  <c r="D209" i="3" s="1"/>
  <c r="F209" i="3" s="1"/>
  <c r="H209" i="3" s="1"/>
  <c r="J209" i="3" s="1"/>
  <c r="D210" i="3" a="1"/>
  <c r="D210" i="3" s="1"/>
  <c r="F210" i="3" s="1"/>
  <c r="H210" i="3" s="1"/>
  <c r="J210" i="3" s="1"/>
  <c r="D211" i="3" a="1"/>
  <c r="D211" i="3" s="1"/>
  <c r="F211" i="3" s="1"/>
  <c r="H211" i="3" s="1"/>
  <c r="J211" i="3" s="1"/>
  <c r="D212" i="3" a="1"/>
  <c r="D212" i="3" s="1"/>
  <c r="F212" i="3" s="1"/>
  <c r="H212" i="3" s="1"/>
  <c r="J212" i="3" s="1"/>
  <c r="D213" i="3" a="1"/>
  <c r="D213" i="3" s="1"/>
  <c r="F213" i="3" s="1"/>
  <c r="H213" i="3" s="1"/>
  <c r="J213" i="3" s="1"/>
  <c r="D214" i="3" a="1"/>
  <c r="D214" i="3" s="1"/>
  <c r="F214" i="3" s="1"/>
  <c r="H214" i="3" s="1"/>
  <c r="J214" i="3" s="1"/>
  <c r="D215" i="3" a="1"/>
  <c r="D215" i="3" s="1"/>
  <c r="F215" i="3" s="1"/>
  <c r="H215" i="3" s="1"/>
  <c r="J215" i="3" s="1"/>
  <c r="D216" i="3" a="1"/>
  <c r="D216" i="3" s="1"/>
  <c r="F216" i="3" s="1"/>
  <c r="H216" i="3" s="1"/>
  <c r="J216" i="3" s="1"/>
  <c r="D217" i="3" a="1"/>
  <c r="D217" i="3" s="1"/>
  <c r="F217" i="3" s="1"/>
  <c r="H217" i="3" s="1"/>
  <c r="J217" i="3" s="1"/>
  <c r="D218" i="3" a="1"/>
  <c r="D218" i="3" s="1"/>
  <c r="F218" i="3" s="1"/>
  <c r="H218" i="3" s="1"/>
  <c r="J218" i="3" s="1"/>
  <c r="D219" i="3" a="1"/>
  <c r="D219" i="3" s="1"/>
  <c r="F219" i="3" s="1"/>
  <c r="H219" i="3" s="1"/>
  <c r="J219" i="3" s="1"/>
  <c r="D220" i="3" a="1"/>
  <c r="D220" i="3" s="1"/>
  <c r="F220" i="3" s="1"/>
  <c r="H220" i="3" s="1"/>
  <c r="J220" i="3" s="1"/>
  <c r="D221" i="3" a="1"/>
  <c r="D221" i="3" s="1"/>
  <c r="F221" i="3" s="1"/>
  <c r="H221" i="3" s="1"/>
  <c r="J221" i="3" s="1"/>
  <c r="D222" i="3" a="1"/>
  <c r="D222" i="3" s="1"/>
  <c r="F222" i="3" s="1"/>
  <c r="H222" i="3" s="1"/>
  <c r="J222" i="3" s="1"/>
  <c r="D223" i="3" a="1"/>
  <c r="D223" i="3" s="1"/>
  <c r="F223" i="3" s="1"/>
  <c r="H223" i="3" s="1"/>
  <c r="J223" i="3" s="1"/>
  <c r="D224" i="3" a="1"/>
  <c r="D224" i="3" s="1"/>
  <c r="F224" i="3" s="1"/>
  <c r="H224" i="3" s="1"/>
  <c r="J224" i="3" s="1"/>
  <c r="D225" i="3" a="1"/>
  <c r="D225" i="3" s="1"/>
  <c r="F225" i="3" s="1"/>
  <c r="H225" i="3" s="1"/>
  <c r="J225" i="3" s="1"/>
  <c r="D226" i="3" a="1"/>
  <c r="D226" i="3" s="1"/>
  <c r="F226" i="3" s="1"/>
  <c r="H226" i="3" s="1"/>
  <c r="J226" i="3" s="1"/>
  <c r="D227" i="3" a="1"/>
  <c r="D227" i="3" s="1"/>
  <c r="F227" i="3" s="1"/>
  <c r="H227" i="3" s="1"/>
  <c r="J227" i="3" s="1"/>
  <c r="D228" i="3" a="1"/>
  <c r="D228" i="3" s="1"/>
  <c r="F228" i="3" s="1"/>
  <c r="H228" i="3" s="1"/>
  <c r="J228" i="3" s="1"/>
  <c r="D229" i="3" a="1"/>
  <c r="D229" i="3" s="1"/>
  <c r="F229" i="3" s="1"/>
  <c r="H229" i="3" s="1"/>
  <c r="J229" i="3" s="1"/>
  <c r="D230" i="3" a="1"/>
  <c r="D230" i="3" s="1"/>
  <c r="F230" i="3" s="1"/>
  <c r="H230" i="3" s="1"/>
  <c r="J230" i="3" s="1"/>
  <c r="D231" i="3" a="1"/>
  <c r="D231" i="3" s="1"/>
  <c r="F231" i="3" s="1"/>
  <c r="H231" i="3" s="1"/>
  <c r="J231" i="3" s="1"/>
  <c r="D232" i="3" a="1"/>
  <c r="D232" i="3" s="1"/>
  <c r="F232" i="3" s="1"/>
  <c r="H232" i="3" s="1"/>
  <c r="J232" i="3" s="1"/>
  <c r="D233" i="3" a="1"/>
  <c r="D233" i="3" s="1"/>
  <c r="F233" i="3" s="1"/>
  <c r="H233" i="3" s="1"/>
  <c r="J233" i="3" s="1"/>
  <c r="D234" i="3" a="1"/>
  <c r="D234" i="3" s="1"/>
  <c r="F234" i="3" s="1"/>
  <c r="H234" i="3" s="1"/>
  <c r="J234" i="3" s="1"/>
  <c r="D235" i="3" a="1"/>
  <c r="D235" i="3" s="1"/>
  <c r="F235" i="3" s="1"/>
  <c r="H235" i="3" s="1"/>
  <c r="J235" i="3" s="1"/>
  <c r="D236" i="3" a="1"/>
  <c r="D236" i="3" s="1"/>
  <c r="F236" i="3" s="1"/>
  <c r="H236" i="3" s="1"/>
  <c r="J236" i="3" s="1"/>
  <c r="D237" i="3" a="1"/>
  <c r="D237" i="3" s="1"/>
  <c r="F237" i="3" s="1"/>
  <c r="H237" i="3" s="1"/>
  <c r="J237" i="3" s="1"/>
  <c r="D238" i="3" a="1"/>
  <c r="D238" i="3" s="1"/>
  <c r="F238" i="3" s="1"/>
  <c r="H238" i="3" s="1"/>
  <c r="J238" i="3" s="1"/>
  <c r="D239" i="3" a="1"/>
  <c r="D239" i="3" s="1"/>
  <c r="F239" i="3" s="1"/>
  <c r="H239" i="3" s="1"/>
  <c r="J239" i="3" s="1"/>
  <c r="D240" i="3" a="1"/>
  <c r="D240" i="3" s="1"/>
  <c r="F240" i="3" s="1"/>
  <c r="H240" i="3" s="1"/>
  <c r="J240" i="3" s="1"/>
  <c r="D241" i="3" a="1"/>
  <c r="D241" i="3" s="1"/>
  <c r="F241" i="3" s="1"/>
  <c r="H241" i="3" s="1"/>
  <c r="J241" i="3" s="1"/>
  <c r="D242" i="3" a="1"/>
  <c r="D242" i="3" s="1"/>
  <c r="F242" i="3" s="1"/>
  <c r="H242" i="3" s="1"/>
  <c r="J242" i="3" s="1"/>
  <c r="D243" i="3" a="1"/>
  <c r="D243" i="3" s="1"/>
  <c r="F243" i="3" s="1"/>
  <c r="H243" i="3" s="1"/>
  <c r="J243" i="3" s="1"/>
  <c r="D244" i="3" a="1"/>
  <c r="D244" i="3" s="1"/>
  <c r="F244" i="3" s="1"/>
  <c r="H244" i="3" s="1"/>
  <c r="J244" i="3" s="1"/>
  <c r="D245" i="3" a="1"/>
  <c r="D245" i="3" s="1"/>
  <c r="F245" i="3" s="1"/>
  <c r="H245" i="3" s="1"/>
  <c r="J245" i="3" s="1"/>
  <c r="D246" i="3" a="1"/>
  <c r="D246" i="3" s="1"/>
  <c r="F246" i="3" s="1"/>
  <c r="H246" i="3" s="1"/>
  <c r="J246" i="3" s="1"/>
  <c r="D247" i="3" a="1"/>
  <c r="D247" i="3" s="1"/>
  <c r="F247" i="3" s="1"/>
  <c r="H247" i="3" s="1"/>
  <c r="J247" i="3" s="1"/>
  <c r="D248" i="3" a="1"/>
  <c r="D248" i="3" s="1"/>
  <c r="F248" i="3" s="1"/>
  <c r="H248" i="3" s="1"/>
  <c r="J248" i="3" s="1"/>
  <c r="D249" i="3" a="1"/>
  <c r="D249" i="3" s="1"/>
  <c r="F249" i="3" s="1"/>
  <c r="H249" i="3" s="1"/>
  <c r="J249" i="3" s="1"/>
  <c r="D250" i="3" a="1"/>
  <c r="D250" i="3" s="1"/>
  <c r="F250" i="3" s="1"/>
  <c r="H250" i="3" s="1"/>
  <c r="J250" i="3" s="1"/>
  <c r="D251" i="3" a="1"/>
  <c r="D251" i="3" s="1"/>
  <c r="F251" i="3" s="1"/>
  <c r="H251" i="3" s="1"/>
  <c r="J251" i="3" s="1"/>
  <c r="D2" i="3" a="1"/>
  <c r="D2" i="3" s="1"/>
  <c r="F2" i="3" s="1"/>
  <c r="H2" i="3" s="1"/>
  <c r="J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DD317C-D4FC-47BF-B3B6-73CF56B9CBCC}" name="Query - Tbl_RawData" description="Connection to the 'Tbl_RawData' query in the workbook." type="100" refreshedVersion="8" minRefreshableVersion="5">
    <extLst>
      <ext xmlns:x15="http://schemas.microsoft.com/office/spreadsheetml/2010/11/main" uri="{DE250136-89BD-433C-8126-D09CA5730AF9}">
        <x15:connection id="943aad4c-49b4-4f6d-84de-10ca12e9232a"/>
      </ext>
    </extLst>
  </connection>
  <connection id="2" xr16:uid="{A23D6AFF-E2E8-41FD-8770-851C8521F8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<sst xmlns="http://schemas.openxmlformats.org/spreadsheetml/2006/main" count="548" uniqueCount="38">
  <si>
    <t>Date</t>
  </si>
  <si>
    <t>Region</t>
  </si>
  <si>
    <t>Historical_demand</t>
  </si>
  <si>
    <t>Unit_price</t>
  </si>
  <si>
    <t>EMEA</t>
  </si>
  <si>
    <t>Americas</t>
  </si>
  <si>
    <t>APAC</t>
  </si>
  <si>
    <t>Column1</t>
  </si>
  <si>
    <t>Base</t>
  </si>
  <si>
    <t>Optimistic</t>
  </si>
  <si>
    <t>Pessimistic</t>
  </si>
  <si>
    <t>Scenario</t>
  </si>
  <si>
    <t>Demand Growth Rate</t>
  </si>
  <si>
    <t>Season</t>
  </si>
  <si>
    <t>Seasonality Factor</t>
  </si>
  <si>
    <t>Q1</t>
  </si>
  <si>
    <t>Q2</t>
  </si>
  <si>
    <t>Q3</t>
  </si>
  <si>
    <t>Q4</t>
  </si>
  <si>
    <t>Capacity Constraints</t>
  </si>
  <si>
    <t>Monthly Capacity Limit (Units)</t>
  </si>
  <si>
    <t>Pricing Assumptions</t>
  </si>
  <si>
    <t>Price Adjustment (%)</t>
  </si>
  <si>
    <t>Base Demand</t>
  </si>
  <si>
    <t>Growth Rate</t>
  </si>
  <si>
    <t>Seasonal Factor</t>
  </si>
  <si>
    <t>Capacity Limit</t>
  </si>
  <si>
    <t>Final Forecast Demand</t>
  </si>
  <si>
    <t>Adjusted Price</t>
  </si>
  <si>
    <t>Forecast Revenue</t>
  </si>
  <si>
    <t>Forecast Demand (Unconstrained)</t>
  </si>
  <si>
    <t>Base Scenario Revenue</t>
  </si>
  <si>
    <t>Optimistic Scenario Revenue</t>
  </si>
  <si>
    <t>Pessimistic Scenario Revenue</t>
  </si>
  <si>
    <t>MonthKey</t>
  </si>
  <si>
    <t>Total Revenue (Base Scenario)</t>
  </si>
  <si>
    <t>Optimistic vs Base (Upside)</t>
  </si>
  <si>
    <t>Pessimistic vs Base (Downside)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</si>
</sst>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;@"/>
    <numFmt numFmtId="165" formatCode="0.0%"/>
    <numFmt numFmtId="166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2" applyFont="1"/>
    <xf numFmtId="2" fontId="0" fillId="0" borderId="0" xfId="2" applyNumberFormat="1" applyFont="1"/>
    <xf numFmtId="2" fontId="0" fillId="0" borderId="0" xfId="0" applyNumberFormat="1"/>
    <xf numFmtId="165" fontId="0" fillId="0" borderId="0" xfId="2" applyNumberFormat="1" applyFont="1"/>
    <xf numFmtId="1" fontId="0" fillId="0" borderId="0" xfId="0" applyNumberFormat="1"/>
    <xf numFmtId="1" fontId="0" fillId="2" borderId="0" xfId="0" applyNumberFormat="1" applyFill="1"/>
    <xf numFmtId="0" fontId="2" fillId="0" borderId="0" xfId="0" applyFont="1"/>
    <xf numFmtId="0" fontId="0" fillId="0" borderId="0" xfId="0" applyFont="1"/>
    <xf numFmtId="165" fontId="0" fillId="2" borderId="0" xfId="0" applyNumberFormat="1" applyFill="1"/>
    <xf numFmtId="43" fontId="0" fillId="0" borderId="0" xfId="1" applyFont="1"/>
    <xf numFmtId="166" fontId="4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11">
    <dxf>
      <numFmt numFmtId="19" formatCode="d/m/yyyy"/>
    </dxf>
    <dxf>
      <numFmt numFmtId="35" formatCode="_-* #,##0.00_-;\-* #,##0.00_-;_-* &quot;-&quot;??_-;_-@_-"/>
    </dxf>
    <dxf>
      <numFmt numFmtId="19" formatCode="d/m/yyyy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Forecast</a:t>
            </a:r>
            <a:r>
              <a:rPr lang="en-US"/>
              <a:t> by</a:t>
            </a:r>
            <a:r>
              <a:rPr lang="en-US" baseline="0"/>
              <a:t>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Scenario_Analysis!$H$2:$H$25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Scenario_Analysis!$I$2:$I$25</c:f>
              <c:numCache>
                <c:formatCode>_(* #,##0.00_);_(* \(#,##0.00\);_(* "-"??_);_(@_)</c:formatCode>
                <c:ptCount val="24"/>
                <c:pt idx="0">
                  <c:v>3542032.125</c:v>
                </c:pt>
                <c:pt idx="1">
                  <c:v>3754702.7737500002</c:v>
                </c:pt>
                <c:pt idx="2">
                  <c:v>2898484.5825</c:v>
                </c:pt>
                <c:pt idx="3">
                  <c:v>2866446.4275000007</c:v>
                </c:pt>
                <c:pt idx="4">
                  <c:v>1261428.1087500001</c:v>
                </c:pt>
                <c:pt idx="5">
                  <c:v>3110421.0037500006</c:v>
                </c:pt>
                <c:pt idx="6">
                  <c:v>3180771.9974999996</c:v>
                </c:pt>
                <c:pt idx="7">
                  <c:v>3435131.9100000006</c:v>
                </c:pt>
                <c:pt idx="8">
                  <c:v>2254210.7625000002</c:v>
                </c:pt>
                <c:pt idx="9">
                  <c:v>1990542.63375</c:v>
                </c:pt>
                <c:pt idx="10">
                  <c:v>1732752.5025000002</c:v>
                </c:pt>
                <c:pt idx="11">
                  <c:v>2257128.2287500002</c:v>
                </c:pt>
                <c:pt idx="12">
                  <c:v>2583085.6537500001</c:v>
                </c:pt>
                <c:pt idx="13">
                  <c:v>2144668.08</c:v>
                </c:pt>
                <c:pt idx="14">
                  <c:v>3364390.3687500004</c:v>
                </c:pt>
                <c:pt idx="15">
                  <c:v>3433352.5312500005</c:v>
                </c:pt>
                <c:pt idx="16">
                  <c:v>2095411.2787500001</c:v>
                </c:pt>
                <c:pt idx="17">
                  <c:v>2079854.7937500002</c:v>
                </c:pt>
                <c:pt idx="18">
                  <c:v>3621052.7437499994</c:v>
                </c:pt>
                <c:pt idx="19">
                  <c:v>2322796.1775000002</c:v>
                </c:pt>
                <c:pt idx="20">
                  <c:v>3304204.08</c:v>
                </c:pt>
                <c:pt idx="21">
                  <c:v>4482679.6237500003</c:v>
                </c:pt>
                <c:pt idx="22">
                  <c:v>3240260.8462499999</c:v>
                </c:pt>
                <c:pt idx="23">
                  <c:v>2084688.8062499999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B-4037-B9A3-4C8B848008A3}"/>
            </c:ext>
          </c:extLst>
        </c:ser>
        <c:ser>
          <c:idx val="1"/>
          <c:order val="1"/>
          <c:tx>
            <c:v>Optimistic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Scenario_Analysis!$H$2:$H$25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Scenario_Analysis!$J$2:$J$25</c:f>
              <c:numCache>
                <c:formatCode>_(* #,##0.00_);_(* \(#,##0.00\);_(* "-"??_);_(@_)</c:formatCode>
                <c:ptCount val="24"/>
                <c:pt idx="0">
                  <c:v>3579201.2520000003</c:v>
                </c:pt>
                <c:pt idx="1">
                  <c:v>3797629.1850000001</c:v>
                </c:pt>
                <c:pt idx="2">
                  <c:v>2925584.142</c:v>
                </c:pt>
                <c:pt idx="3">
                  <c:v>2891938.7429999998</c:v>
                </c:pt>
                <c:pt idx="4">
                  <c:v>1273811.7690000001</c:v>
                </c:pt>
                <c:pt idx="5">
                  <c:v>3146465.6190000004</c:v>
                </c:pt>
                <c:pt idx="6">
                  <c:v>3219922.6260000006</c:v>
                </c:pt>
                <c:pt idx="7">
                  <c:v>3473844.048</c:v>
                </c:pt>
                <c:pt idx="8">
                  <c:v>2274643.7459999998</c:v>
                </c:pt>
                <c:pt idx="9">
                  <c:v>2010948.699</c:v>
                </c:pt>
                <c:pt idx="10">
                  <c:v>1752215.25</c:v>
                </c:pt>
                <c:pt idx="11">
                  <c:v>2284712.7000000002</c:v>
                </c:pt>
                <c:pt idx="12">
                  <c:v>2610303.7170000002</c:v>
                </c:pt>
                <c:pt idx="13">
                  <c:v>2165399.844</c:v>
                </c:pt>
                <c:pt idx="14">
                  <c:v>3400362.0150000006</c:v>
                </c:pt>
                <c:pt idx="15">
                  <c:v>3471369.3629999999</c:v>
                </c:pt>
                <c:pt idx="16">
                  <c:v>2119201.497</c:v>
                </c:pt>
                <c:pt idx="17">
                  <c:v>2098312.6350000002</c:v>
                </c:pt>
                <c:pt idx="18">
                  <c:v>3659600.5830000006</c:v>
                </c:pt>
                <c:pt idx="19">
                  <c:v>2349549.8370000003</c:v>
                </c:pt>
                <c:pt idx="20">
                  <c:v>3343965.4439999997</c:v>
                </c:pt>
                <c:pt idx="21">
                  <c:v>4535228.0640000002</c:v>
                </c:pt>
                <c:pt idx="22">
                  <c:v>3276830.8710000003</c:v>
                </c:pt>
                <c:pt idx="23">
                  <c:v>2106580.7999999998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B-4037-B9A3-4C8B848008A3}"/>
            </c:ext>
          </c:extLst>
        </c:ser>
        <c:ser>
          <c:idx val="2"/>
          <c:order val="2"/>
          <c:tx>
            <c:v>Pessimistic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Scenario_Analysis!$H$2:$H$25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Scenario_Analysis!$K$2:$K$25</c:f>
              <c:numCache>
                <c:formatCode>_(* #,##0.00_);_(* \(#,##0.00\);_(* "-"??_);_(@_)</c:formatCode>
                <c:ptCount val="24"/>
                <c:pt idx="0">
                  <c:v>3502888.3499999996</c:v>
                </c:pt>
                <c:pt idx="1">
                  <c:v>3707140.4805000005</c:v>
                </c:pt>
                <c:pt idx="2">
                  <c:v>2871385.023</c:v>
                </c:pt>
                <c:pt idx="3">
                  <c:v>2837720.6730000004</c:v>
                </c:pt>
                <c:pt idx="4">
                  <c:v>1247746.4595000001</c:v>
                </c:pt>
                <c:pt idx="5">
                  <c:v>3071437.5465000002</c:v>
                </c:pt>
                <c:pt idx="6">
                  <c:v>3141621.3689999999</c:v>
                </c:pt>
                <c:pt idx="7">
                  <c:v>3392387.2950000004</c:v>
                </c:pt>
                <c:pt idx="8">
                  <c:v>2232790.4549999996</c:v>
                </c:pt>
                <c:pt idx="9">
                  <c:v>1967998.5584999998</c:v>
                </c:pt>
                <c:pt idx="10">
                  <c:v>1712302.4310000001</c:v>
                </c:pt>
                <c:pt idx="11">
                  <c:v>2226753.1365</c:v>
                </c:pt>
                <c:pt idx="12">
                  <c:v>2552685.2175000003</c:v>
                </c:pt>
                <c:pt idx="13">
                  <c:v>2122406.7779999999</c:v>
                </c:pt>
                <c:pt idx="14">
                  <c:v>3325879.8585000006</c:v>
                </c:pt>
                <c:pt idx="15">
                  <c:v>3391071.6734999996</c:v>
                </c:pt>
                <c:pt idx="16">
                  <c:v>2069472.9675000003</c:v>
                </c:pt>
                <c:pt idx="17">
                  <c:v>2057960.9534999998</c:v>
                </c:pt>
                <c:pt idx="18">
                  <c:v>3578065.5225</c:v>
                </c:pt>
                <c:pt idx="19">
                  <c:v>2294102.0010000002</c:v>
                </c:pt>
                <c:pt idx="20">
                  <c:v>3262699.6170000006</c:v>
                </c:pt>
                <c:pt idx="21">
                  <c:v>4424331.6344999997</c:v>
                </c:pt>
                <c:pt idx="22">
                  <c:v>3201853.3935000002</c:v>
                </c:pt>
                <c:pt idx="23">
                  <c:v>2059255.4835000001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B-4037-B9A3-4C8B84800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7"/>
        <c:axId val="1182391576"/>
        <c:axId val="1138739176"/>
      </c:barChart>
      <c:dateAx>
        <c:axId val="1182391576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739176"/>
        <c:crosses val="autoZero"/>
        <c:auto val="1"/>
        <c:lblOffset val="100"/>
        <c:baseTimeUnit val="months"/>
      </c:dateAx>
      <c:valAx>
        <c:axId val="113873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9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1764030</xdr:colOff>
      <xdr:row>5</xdr:row>
      <xdr:rowOff>49530</xdr:rowOff>
    </xdr:from>
    <xdr:to>
      <xdr:col>6</xdr:col>
      <xdr:colOff>0</xdr:colOff>
      <xdr:row>19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157E64-D1EA-417A-AA8C-3033F6924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</xdr:colOff>
      <xdr:row>0</xdr:row>
      <xdr:rowOff>0</xdr:rowOff>
    </xdr:from>
    <xdr:ext cx="8328660" cy="40543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B76BAB-4A2A-140C-A74B-F44830A59CAB}"/>
            </a:ext>
          </a:extLst>
        </xdr:cNvPr>
        <xdr:cNvSpPr txBox="1"/>
      </xdr:nvSpPr>
      <xdr:spPr>
        <a:xfrm>
          <a:off x="609601" y="19050"/>
          <a:ext cx="832866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2000" b="1" kern="12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66BE4-C96E-4213-B9EE-EF578E85C717}" name="Tbl_RawData" displayName="Tbl_RawData" ref="A1:D251" totalsRowShown="0">
  <autoFilter ref="A1:D251" xr:uid="{81566BE4-C96E-4213-B9EE-EF578E85C717}"/>
  <tableColumns count="4">
    <tableColumn id="1" xr3:uid="{5667809C-584E-45A8-8F1D-610A1241AF47}" name="Date" dataDxfId="10"/>
    <tableColumn id="2" xr3:uid="{3F68BCA9-3B9B-464B-88AD-C384484B530F}" name="Region"/>
    <tableColumn id="3" xr3:uid="{D02BDC69-C1A3-48D1-ADB0-0B23FAC8CFF4}" name="Historical_demand"/>
    <tableColumn id="4" xr3:uid="{10A5498F-14A5-4E67-9E12-F3604BE57E91}" name="Unit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15457B-A179-4DD1-934A-E07AB744C0D0}" name="Tbl_Forecast" displayName="Tbl_Forecast" ref="A1:L251" totalsRowShown="0">
  <autoFilter ref="A1:L251" xr:uid="{5615457B-A179-4DD1-934A-E07AB744C0D0}"/>
  <tableColumns count="12">
    <tableColumn id="1" xr3:uid="{116C7307-BEB2-431B-9E3E-B97F3E943B6D}" name="Date" dataDxfId="9"/>
    <tableColumn id="2" xr3:uid="{9E0C4B30-C80A-4D2E-9553-62B1E6167FE5}" name="Region"/>
    <tableColumn id="3" xr3:uid="{E36463F9-0187-4010-8DE7-B83CABD7CAE2}" name="Base Demand"/>
    <tableColumn id="4" xr3:uid="{1314F030-2D55-433F-BF87-ACBAA03AEF04}" name="Growth Rate" dataDxfId="8" dataCellStyle="Percent">
      <calculatedColumnFormula array="1">_xlfn.SWITCH(Assumptions!$B$2,"Base",Assumptions!$B$9,"Optimistic",Assumptions!$B$10,"Pessimistic",Assumptions!$B$11)</calculatedColumnFormula>
    </tableColumn>
    <tableColumn id="5" xr3:uid="{7C344E6C-0B4C-456F-BF9C-C921F31D6B6D}" name="Seasonal Factor">
      <calculatedColumnFormula>_xlfn.XLOOKUP(K2,Assumptions!$A$14:$A$17,Assumptions!$B$14:$B$17,0,0,1)</calculatedColumnFormula>
    </tableColumn>
    <tableColumn id="6" xr3:uid="{7DBA6394-3581-4B4A-AFD4-686FF2F4177C}" name="Forecast Demand (Unconstrained)" dataDxfId="7">
      <calculatedColumnFormula>C2*(1+D2)*E2</calculatedColumnFormula>
    </tableColumn>
    <tableColumn id="7" xr3:uid="{5AA70CAC-7DE2-416F-B0A9-645754167397}" name="Capacity Limit" dataDxfId="6">
      <calculatedColumnFormula>Assumptions!$B$21</calculatedColumnFormula>
    </tableColumn>
    <tableColumn id="8" xr3:uid="{987FEC44-0D98-4C36-B138-A4E564F58F7E}" name="Final Forecast Demand" dataDxfId="5">
      <calculatedColumnFormula>MIN(F2,G2)</calculatedColumnFormula>
    </tableColumn>
    <tableColumn id="9" xr3:uid="{BEE09A81-515A-4B54-95EF-A4923FFC3EEC}" name="Adjusted Price">
      <calculatedColumnFormula>Tbl_RawData[[#This Row],[Unit_price]]*(1+Assumptions!$B$26)</calculatedColumnFormula>
    </tableColumn>
    <tableColumn id="10" xr3:uid="{91420EAF-0E2D-4715-9035-6E39D30C5E73}" name="Forecast Revenue" dataDxfId="4" dataCellStyle="Comma">
      <calculatedColumnFormula>H2*I2</calculatedColumnFormula>
    </tableColumn>
    <tableColumn id="11" xr3:uid="{D8BEBB60-FBD3-4A33-9270-8ADEE4300E9A}" name="Column1">
      <calculatedColumnFormula>"Q"&amp;ROUNDUP(MONTH(A2)/3,0)</calculatedColumnFormula>
    </tableColumn>
    <tableColumn id="12" xr3:uid="{4ACCEB38-820A-4A5D-BF42-B5FF6D0A093F}" name="MonthKey" dataDxfId="3">
      <calculatedColumnFormula>EOMONTH(Tbl_Forecast[[#This Row],[Date]],0)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6CAAAC-8205-45A7-BE05-42E24945280A}" name="Tbl_Scenario" displayName="Tbl_Scenario" ref="A1:E208" totalsRowShown="0">
  <autoFilter ref="A1:E208" xr:uid="{586CAAAC-8205-45A7-BE05-42E24945280A}"/>
  <sortState xmlns:xlrd2="http://schemas.microsoft.com/office/spreadsheetml/2017/richdata2" ref="A2:A208">
    <sortCondition ref="A1:A208"/>
  </sortState>
  <tableColumns count="5">
    <tableColumn id="1" xr3:uid="{4EEADB8F-39C1-47F6-92F9-9897B3FE3592}" name="Date" dataDxfId="2"/>
    <tableColumn id="6" xr3:uid="{A7052BE7-35B4-45B2-9144-69A68557A58A}" name="MonthKey" dataDxfId="0">
      <calculatedColumnFormula>EOMONTH(Tbl_Scenario[[#This Row],[Date]],0)</calculatedColumnFormula>
    </tableColumn>
    <tableColumn id="2" xr3:uid="{D88DFEFD-D16D-44D6-9099-20F8E27D3523}" name="Base Scenario Revenue" dataDxfId="1" dataCellStyle="Comma"/>
    <tableColumn id="3" xr3:uid="{46D1BD93-3470-4F9C-BC08-939118FD797B}" name="Optimistic Scenario Revenue" dataCellStyle="Comma"/>
    <tableColumn id="4" xr3:uid="{EF82500F-7D94-460F-A5E0-4B25DCA3C7EA}" name="Pessimistic Scenario Revenue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3B5A-0521-4E3E-9082-96ECF690E54C}">
  <dimension ref="A1:I251"/>
  <sheetViews>
    <sheetView tabSelected="1" workbookViewId="0">
      <selection activeCell="G235" sqref="G235"/>
    </sheetView>
  </sheetViews>
  <sheetFormatPr defaultRowHeight="14.4" x14ac:dyDescent="0.3"/>
  <cols>
    <col min="1" max="1" width="12.109375" customWidth="1"/>
    <col min="2" max="2" width="17.6640625" customWidth="1"/>
    <col min="3" max="3" width="19.33203125" customWidth="1"/>
    <col min="4" max="4" width="11.77734375" customWidth="1"/>
    <col min="6" max="6" width="10.33203125" bestFit="1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s="2">
        <v>45510</v>
      </c>
      <c r="B2" t="s">
        <v>6</v>
      </c>
      <c r="C2">
        <v>1063</v>
      </c>
      <c r="D2">
        <v>12.5</v>
      </c>
      <c r="F2" s="2"/>
      <c r="G2" s="2"/>
      <c r="I2" s="2"/>
    </row>
    <row r="3" spans="1:9" x14ac:dyDescent="0.3">
      <c r="A3" s="2">
        <v>45500</v>
      </c>
      <c r="B3" t="s">
        <v>4</v>
      </c>
      <c r="C3">
        <v>2892</v>
      </c>
      <c r="D3">
        <v>12.5</v>
      </c>
    </row>
    <row r="4" spans="1:9" x14ac:dyDescent="0.3">
      <c r="A4" s="2">
        <v>45529</v>
      </c>
      <c r="B4" t="s">
        <v>5</v>
      </c>
      <c r="C4">
        <v>2388</v>
      </c>
      <c r="D4">
        <v>12.5</v>
      </c>
    </row>
    <row r="5" spans="1:9" x14ac:dyDescent="0.3">
      <c r="A5" s="2">
        <v>45621</v>
      </c>
      <c r="B5" t="s">
        <v>6</v>
      </c>
      <c r="C5">
        <v>1199</v>
      </c>
      <c r="D5">
        <v>12.5</v>
      </c>
    </row>
    <row r="6" spans="1:9" x14ac:dyDescent="0.3">
      <c r="A6" s="2">
        <v>45739</v>
      </c>
      <c r="B6" t="s">
        <v>4</v>
      </c>
      <c r="C6">
        <v>847</v>
      </c>
      <c r="D6">
        <v>13</v>
      </c>
    </row>
    <row r="7" spans="1:9" x14ac:dyDescent="0.3">
      <c r="A7" s="2">
        <v>45834</v>
      </c>
      <c r="B7" t="s">
        <v>5</v>
      </c>
      <c r="C7">
        <v>937</v>
      </c>
      <c r="D7">
        <v>13</v>
      </c>
    </row>
    <row r="8" spans="1:9" x14ac:dyDescent="0.3">
      <c r="A8" s="2">
        <v>45739</v>
      </c>
      <c r="B8" t="s">
        <v>6</v>
      </c>
      <c r="C8">
        <v>3391</v>
      </c>
      <c r="D8">
        <v>13</v>
      </c>
    </row>
    <row r="9" spans="1:9" x14ac:dyDescent="0.3">
      <c r="A9" s="2">
        <v>45529</v>
      </c>
      <c r="B9" t="s">
        <v>4</v>
      </c>
      <c r="C9">
        <v>1932</v>
      </c>
      <c r="D9">
        <v>12.5</v>
      </c>
    </row>
    <row r="10" spans="1:9" x14ac:dyDescent="0.3">
      <c r="A10" s="2">
        <v>46022</v>
      </c>
      <c r="B10" t="s">
        <v>6</v>
      </c>
      <c r="C10">
        <v>4963</v>
      </c>
      <c r="D10">
        <v>13.5</v>
      </c>
    </row>
    <row r="11" spans="1:9" x14ac:dyDescent="0.3">
      <c r="A11" s="2">
        <v>45489</v>
      </c>
      <c r="B11" t="s">
        <v>5</v>
      </c>
      <c r="C11">
        <v>1913</v>
      </c>
      <c r="D11">
        <v>12.5</v>
      </c>
    </row>
    <row r="12" spans="1:9" x14ac:dyDescent="0.3">
      <c r="A12" s="2">
        <v>45902</v>
      </c>
      <c r="B12" t="s">
        <v>5</v>
      </c>
      <c r="C12">
        <v>3363</v>
      </c>
      <c r="D12">
        <v>13.5</v>
      </c>
    </row>
    <row r="13" spans="1:9" x14ac:dyDescent="0.3">
      <c r="A13" s="2">
        <v>45528</v>
      </c>
      <c r="B13" t="s">
        <v>6</v>
      </c>
      <c r="C13">
        <v>1064</v>
      </c>
      <c r="D13">
        <v>12.5</v>
      </c>
    </row>
    <row r="14" spans="1:9" x14ac:dyDescent="0.3">
      <c r="A14" s="2">
        <v>45891</v>
      </c>
      <c r="B14" t="s">
        <v>6</v>
      </c>
      <c r="C14">
        <v>2597</v>
      </c>
      <c r="D14">
        <v>13.5</v>
      </c>
    </row>
    <row r="15" spans="1:9" x14ac:dyDescent="0.3">
      <c r="A15" s="2">
        <v>45436</v>
      </c>
      <c r="B15" t="s">
        <v>5</v>
      </c>
      <c r="C15">
        <v>3377</v>
      </c>
      <c r="D15">
        <v>12</v>
      </c>
    </row>
    <row r="16" spans="1:9" x14ac:dyDescent="0.3">
      <c r="A16" s="2">
        <v>45310</v>
      </c>
      <c r="B16" t="s">
        <v>6</v>
      </c>
      <c r="C16">
        <v>4675</v>
      </c>
      <c r="D16">
        <v>12</v>
      </c>
    </row>
    <row r="17" spans="1:4" x14ac:dyDescent="0.3">
      <c r="A17" s="2">
        <v>45511</v>
      </c>
      <c r="B17" t="s">
        <v>4</v>
      </c>
      <c r="C17">
        <v>4002</v>
      </c>
      <c r="D17">
        <v>12.5</v>
      </c>
    </row>
    <row r="18" spans="1:4" x14ac:dyDescent="0.3">
      <c r="A18" s="2">
        <v>45796</v>
      </c>
      <c r="B18" t="s">
        <v>4</v>
      </c>
      <c r="C18">
        <v>2474</v>
      </c>
      <c r="D18">
        <v>13</v>
      </c>
    </row>
    <row r="19" spans="1:4" x14ac:dyDescent="0.3">
      <c r="A19" s="2">
        <v>45628</v>
      </c>
      <c r="B19" t="s">
        <v>5</v>
      </c>
      <c r="C19">
        <v>284</v>
      </c>
      <c r="D19">
        <v>12.5</v>
      </c>
    </row>
    <row r="20" spans="1:4" x14ac:dyDescent="0.3">
      <c r="A20" s="2">
        <v>45390</v>
      </c>
      <c r="B20" t="s">
        <v>5</v>
      </c>
      <c r="C20">
        <v>1743</v>
      </c>
      <c r="D20">
        <v>12</v>
      </c>
    </row>
    <row r="21" spans="1:4" x14ac:dyDescent="0.3">
      <c r="A21" s="2">
        <v>45873</v>
      </c>
      <c r="B21" t="s">
        <v>4</v>
      </c>
      <c r="C21">
        <v>2490</v>
      </c>
      <c r="D21">
        <v>13.5</v>
      </c>
    </row>
    <row r="22" spans="1:4" x14ac:dyDescent="0.3">
      <c r="A22" s="2">
        <v>45857</v>
      </c>
      <c r="B22" t="s">
        <v>5</v>
      </c>
      <c r="C22">
        <v>2123</v>
      </c>
      <c r="D22">
        <v>13.5</v>
      </c>
    </row>
    <row r="23" spans="1:4" x14ac:dyDescent="0.3">
      <c r="A23" s="2">
        <v>45550</v>
      </c>
      <c r="B23" t="s">
        <v>6</v>
      </c>
      <c r="C23">
        <v>521</v>
      </c>
      <c r="D23">
        <v>12.5</v>
      </c>
    </row>
    <row r="24" spans="1:4" x14ac:dyDescent="0.3">
      <c r="A24" s="2">
        <v>45942</v>
      </c>
      <c r="B24" t="s">
        <v>5</v>
      </c>
      <c r="C24">
        <v>270</v>
      </c>
      <c r="D24">
        <v>13.5</v>
      </c>
    </row>
    <row r="25" spans="1:4" x14ac:dyDescent="0.3">
      <c r="A25" s="2">
        <v>45546</v>
      </c>
      <c r="B25" t="s">
        <v>5</v>
      </c>
      <c r="C25">
        <v>2926</v>
      </c>
      <c r="D25">
        <v>12.5</v>
      </c>
    </row>
    <row r="26" spans="1:4" x14ac:dyDescent="0.3">
      <c r="A26" s="2">
        <v>45474</v>
      </c>
      <c r="B26" t="s">
        <v>6</v>
      </c>
      <c r="C26">
        <v>1155</v>
      </c>
      <c r="D26">
        <v>12.5</v>
      </c>
    </row>
    <row r="27" spans="1:4" x14ac:dyDescent="0.3">
      <c r="A27" s="2">
        <v>45402</v>
      </c>
      <c r="B27" t="s">
        <v>6</v>
      </c>
      <c r="C27">
        <v>4951</v>
      </c>
      <c r="D27">
        <v>12</v>
      </c>
    </row>
    <row r="28" spans="1:4" x14ac:dyDescent="0.3">
      <c r="A28" s="2">
        <v>45391</v>
      </c>
      <c r="B28" t="s">
        <v>4</v>
      </c>
      <c r="C28">
        <v>4561</v>
      </c>
      <c r="D28">
        <v>12</v>
      </c>
    </row>
    <row r="29" spans="1:4" x14ac:dyDescent="0.3">
      <c r="A29" s="2">
        <v>45503</v>
      </c>
      <c r="B29" t="s">
        <v>4</v>
      </c>
      <c r="C29">
        <v>3298</v>
      </c>
      <c r="D29">
        <v>12.5</v>
      </c>
    </row>
    <row r="30" spans="1:4" x14ac:dyDescent="0.3">
      <c r="A30" s="2">
        <v>45480</v>
      </c>
      <c r="B30" t="s">
        <v>4</v>
      </c>
      <c r="C30">
        <v>4976</v>
      </c>
      <c r="D30">
        <v>12.5</v>
      </c>
    </row>
    <row r="31" spans="1:4" x14ac:dyDescent="0.3">
      <c r="A31" s="2">
        <v>45354</v>
      </c>
      <c r="B31" t="s">
        <v>5</v>
      </c>
      <c r="C31">
        <v>1858</v>
      </c>
      <c r="D31">
        <v>12</v>
      </c>
    </row>
    <row r="32" spans="1:4" x14ac:dyDescent="0.3">
      <c r="A32" s="2">
        <v>45358</v>
      </c>
      <c r="B32" t="s">
        <v>4</v>
      </c>
      <c r="C32">
        <v>3438</v>
      </c>
      <c r="D32">
        <v>12</v>
      </c>
    </row>
    <row r="33" spans="1:4" x14ac:dyDescent="0.3">
      <c r="A33" s="2">
        <v>45368</v>
      </c>
      <c r="B33" t="s">
        <v>4</v>
      </c>
      <c r="C33">
        <v>4070</v>
      </c>
      <c r="D33">
        <v>12</v>
      </c>
    </row>
    <row r="34" spans="1:4" x14ac:dyDescent="0.3">
      <c r="A34" s="2">
        <v>45597</v>
      </c>
      <c r="B34" t="s">
        <v>6</v>
      </c>
      <c r="C34">
        <v>3941</v>
      </c>
      <c r="D34">
        <v>12.5</v>
      </c>
    </row>
    <row r="35" spans="1:4" x14ac:dyDescent="0.3">
      <c r="A35" s="2">
        <v>45959</v>
      </c>
      <c r="B35" t="s">
        <v>6</v>
      </c>
      <c r="C35">
        <v>1607</v>
      </c>
      <c r="D35">
        <v>13.5</v>
      </c>
    </row>
    <row r="36" spans="1:4" x14ac:dyDescent="0.3">
      <c r="A36" s="2">
        <v>45918</v>
      </c>
      <c r="B36" t="s">
        <v>4</v>
      </c>
      <c r="C36">
        <v>439</v>
      </c>
      <c r="D36">
        <v>13.5</v>
      </c>
    </row>
    <row r="37" spans="1:4" x14ac:dyDescent="0.3">
      <c r="A37" s="2">
        <v>45472</v>
      </c>
      <c r="B37" t="s">
        <v>5</v>
      </c>
      <c r="C37">
        <v>2092</v>
      </c>
      <c r="D37">
        <v>12</v>
      </c>
    </row>
    <row r="38" spans="1:4" x14ac:dyDescent="0.3">
      <c r="A38" s="2">
        <v>45975</v>
      </c>
      <c r="B38" t="s">
        <v>4</v>
      </c>
      <c r="C38">
        <v>2822</v>
      </c>
      <c r="D38">
        <v>13.5</v>
      </c>
    </row>
    <row r="39" spans="1:4" x14ac:dyDescent="0.3">
      <c r="A39" s="2">
        <v>45886</v>
      </c>
      <c r="B39" t="s">
        <v>6</v>
      </c>
      <c r="C39">
        <v>4636</v>
      </c>
      <c r="D39">
        <v>13.5</v>
      </c>
    </row>
    <row r="40" spans="1:4" x14ac:dyDescent="0.3">
      <c r="A40" s="2">
        <v>45917</v>
      </c>
      <c r="B40" t="s">
        <v>5</v>
      </c>
      <c r="C40">
        <v>3902</v>
      </c>
      <c r="D40">
        <v>13.5</v>
      </c>
    </row>
    <row r="41" spans="1:4" x14ac:dyDescent="0.3">
      <c r="A41" s="2">
        <v>45933</v>
      </c>
      <c r="B41" t="s">
        <v>4</v>
      </c>
      <c r="C41">
        <v>2594</v>
      </c>
      <c r="D41">
        <v>13.5</v>
      </c>
    </row>
    <row r="42" spans="1:4" x14ac:dyDescent="0.3">
      <c r="A42" s="2">
        <v>45594</v>
      </c>
      <c r="B42" t="s">
        <v>4</v>
      </c>
      <c r="C42">
        <v>2506</v>
      </c>
      <c r="D42">
        <v>12.5</v>
      </c>
    </row>
    <row r="43" spans="1:4" x14ac:dyDescent="0.3">
      <c r="A43" s="2">
        <v>45768</v>
      </c>
      <c r="B43" t="s">
        <v>5</v>
      </c>
      <c r="C43">
        <v>1449</v>
      </c>
      <c r="D43">
        <v>13</v>
      </c>
    </row>
    <row r="44" spans="1:4" x14ac:dyDescent="0.3">
      <c r="A44" s="2">
        <v>45908</v>
      </c>
      <c r="B44" t="s">
        <v>6</v>
      </c>
      <c r="C44">
        <v>1002</v>
      </c>
      <c r="D44">
        <v>13.5</v>
      </c>
    </row>
    <row r="45" spans="1:4" x14ac:dyDescent="0.3">
      <c r="A45" s="2">
        <v>45682</v>
      </c>
      <c r="B45" t="s">
        <v>4</v>
      </c>
      <c r="C45">
        <v>4885</v>
      </c>
      <c r="D45">
        <v>13</v>
      </c>
    </row>
    <row r="46" spans="1:4" x14ac:dyDescent="0.3">
      <c r="A46" s="2">
        <v>45405</v>
      </c>
      <c r="B46" t="s">
        <v>6</v>
      </c>
      <c r="C46">
        <v>1015</v>
      </c>
      <c r="D46">
        <v>12</v>
      </c>
    </row>
    <row r="47" spans="1:4" x14ac:dyDescent="0.3">
      <c r="A47" s="2">
        <v>45748</v>
      </c>
      <c r="B47" t="s">
        <v>5</v>
      </c>
      <c r="C47">
        <v>2181</v>
      </c>
      <c r="D47">
        <v>13</v>
      </c>
    </row>
    <row r="48" spans="1:4" x14ac:dyDescent="0.3">
      <c r="A48" s="2">
        <v>45801</v>
      </c>
      <c r="B48" t="s">
        <v>4</v>
      </c>
      <c r="C48">
        <v>3211</v>
      </c>
      <c r="D48">
        <v>13</v>
      </c>
    </row>
    <row r="49" spans="1:4" x14ac:dyDescent="0.3">
      <c r="A49" s="2">
        <v>45636</v>
      </c>
      <c r="B49" t="s">
        <v>4</v>
      </c>
      <c r="C49">
        <v>2186</v>
      </c>
      <c r="D49">
        <v>12.5</v>
      </c>
    </row>
    <row r="50" spans="1:4" x14ac:dyDescent="0.3">
      <c r="A50" s="2">
        <v>45492</v>
      </c>
      <c r="B50" t="s">
        <v>4</v>
      </c>
      <c r="C50">
        <v>3232</v>
      </c>
      <c r="D50">
        <v>12.5</v>
      </c>
    </row>
    <row r="51" spans="1:4" x14ac:dyDescent="0.3">
      <c r="A51" s="2">
        <v>45842</v>
      </c>
      <c r="B51" t="s">
        <v>6</v>
      </c>
      <c r="C51">
        <v>1676</v>
      </c>
      <c r="D51">
        <v>13.5</v>
      </c>
    </row>
    <row r="52" spans="1:4" x14ac:dyDescent="0.3">
      <c r="A52" s="2">
        <v>45976</v>
      </c>
      <c r="B52" t="s">
        <v>4</v>
      </c>
      <c r="C52">
        <v>281</v>
      </c>
      <c r="D52">
        <v>13.5</v>
      </c>
    </row>
    <row r="53" spans="1:4" x14ac:dyDescent="0.3">
      <c r="A53" s="2">
        <v>45965</v>
      </c>
      <c r="B53" t="s">
        <v>6</v>
      </c>
      <c r="C53">
        <v>2475</v>
      </c>
      <c r="D53">
        <v>13.5</v>
      </c>
    </row>
    <row r="54" spans="1:4" x14ac:dyDescent="0.3">
      <c r="A54" s="2">
        <v>45624</v>
      </c>
      <c r="B54" t="s">
        <v>6</v>
      </c>
      <c r="C54">
        <v>4874</v>
      </c>
      <c r="D54">
        <v>12.5</v>
      </c>
    </row>
    <row r="55" spans="1:4" x14ac:dyDescent="0.3">
      <c r="A55" s="2">
        <v>45755</v>
      </c>
      <c r="B55" t="s">
        <v>6</v>
      </c>
      <c r="C55">
        <v>2557</v>
      </c>
      <c r="D55">
        <v>13</v>
      </c>
    </row>
    <row r="56" spans="1:4" x14ac:dyDescent="0.3">
      <c r="A56" s="2">
        <v>45526</v>
      </c>
      <c r="B56" t="s">
        <v>6</v>
      </c>
      <c r="C56">
        <v>2911</v>
      </c>
      <c r="D56">
        <v>12.5</v>
      </c>
    </row>
    <row r="57" spans="1:4" x14ac:dyDescent="0.3">
      <c r="A57" s="2">
        <v>45561</v>
      </c>
      <c r="B57" t="s">
        <v>6</v>
      </c>
      <c r="C57">
        <v>4955</v>
      </c>
      <c r="D57">
        <v>12.5</v>
      </c>
    </row>
    <row r="58" spans="1:4" x14ac:dyDescent="0.3">
      <c r="A58" s="2">
        <v>45696</v>
      </c>
      <c r="B58" t="s">
        <v>6</v>
      </c>
      <c r="C58">
        <v>926</v>
      </c>
      <c r="D58">
        <v>13</v>
      </c>
    </row>
    <row r="59" spans="1:4" x14ac:dyDescent="0.3">
      <c r="A59" s="2">
        <v>45638</v>
      </c>
      <c r="B59" t="s">
        <v>6</v>
      </c>
      <c r="C59">
        <v>2103</v>
      </c>
      <c r="D59">
        <v>12.5</v>
      </c>
    </row>
    <row r="60" spans="1:4" x14ac:dyDescent="0.3">
      <c r="A60" s="2">
        <v>45931</v>
      </c>
      <c r="B60" t="s">
        <v>4</v>
      </c>
      <c r="C60">
        <v>1251</v>
      </c>
      <c r="D60">
        <v>13.5</v>
      </c>
    </row>
    <row r="61" spans="1:4" x14ac:dyDescent="0.3">
      <c r="A61" s="2">
        <v>45550</v>
      </c>
      <c r="B61" t="s">
        <v>6</v>
      </c>
      <c r="C61">
        <v>4860</v>
      </c>
      <c r="D61">
        <v>12.5</v>
      </c>
    </row>
    <row r="62" spans="1:4" x14ac:dyDescent="0.3">
      <c r="A62" s="2">
        <v>45950</v>
      </c>
      <c r="B62" t="s">
        <v>6</v>
      </c>
      <c r="C62">
        <v>2026</v>
      </c>
      <c r="D62">
        <v>13.5</v>
      </c>
    </row>
    <row r="63" spans="1:4" x14ac:dyDescent="0.3">
      <c r="A63" s="2">
        <v>45707</v>
      </c>
      <c r="B63" t="s">
        <v>6</v>
      </c>
      <c r="C63">
        <v>2273</v>
      </c>
      <c r="D63">
        <v>13</v>
      </c>
    </row>
    <row r="64" spans="1:4" x14ac:dyDescent="0.3">
      <c r="A64" s="2">
        <v>45663</v>
      </c>
      <c r="B64" t="s">
        <v>4</v>
      </c>
      <c r="C64">
        <v>1670</v>
      </c>
      <c r="D64">
        <v>13</v>
      </c>
    </row>
    <row r="65" spans="1:4" x14ac:dyDescent="0.3">
      <c r="A65" s="2">
        <v>45754</v>
      </c>
      <c r="B65" t="s">
        <v>5</v>
      </c>
      <c r="C65">
        <v>1501</v>
      </c>
      <c r="D65">
        <v>13</v>
      </c>
    </row>
    <row r="66" spans="1:4" x14ac:dyDescent="0.3">
      <c r="A66" s="2">
        <v>45931</v>
      </c>
      <c r="B66" t="s">
        <v>6</v>
      </c>
      <c r="C66">
        <v>438</v>
      </c>
      <c r="D66">
        <v>13.5</v>
      </c>
    </row>
    <row r="67" spans="1:4" x14ac:dyDescent="0.3">
      <c r="A67" s="2">
        <v>45588</v>
      </c>
      <c r="B67" t="s">
        <v>5</v>
      </c>
      <c r="C67">
        <v>3718</v>
      </c>
      <c r="D67">
        <v>12.5</v>
      </c>
    </row>
    <row r="68" spans="1:4" x14ac:dyDescent="0.3">
      <c r="A68" s="2">
        <v>45397</v>
      </c>
      <c r="B68" t="s">
        <v>4</v>
      </c>
      <c r="C68">
        <v>1719</v>
      </c>
      <c r="D68">
        <v>12</v>
      </c>
    </row>
    <row r="69" spans="1:4" x14ac:dyDescent="0.3">
      <c r="A69" s="2">
        <v>45315</v>
      </c>
      <c r="B69" t="s">
        <v>4</v>
      </c>
      <c r="C69">
        <v>2826</v>
      </c>
      <c r="D69">
        <v>12</v>
      </c>
    </row>
    <row r="70" spans="1:4" x14ac:dyDescent="0.3">
      <c r="A70" s="2">
        <v>45855</v>
      </c>
      <c r="B70" t="s">
        <v>5</v>
      </c>
      <c r="C70">
        <v>2123</v>
      </c>
      <c r="D70">
        <v>13.5</v>
      </c>
    </row>
    <row r="71" spans="1:4" x14ac:dyDescent="0.3">
      <c r="A71" s="2">
        <v>45996</v>
      </c>
      <c r="B71" t="s">
        <v>6</v>
      </c>
      <c r="C71">
        <v>4684</v>
      </c>
      <c r="D71">
        <v>13.5</v>
      </c>
    </row>
    <row r="72" spans="1:4" x14ac:dyDescent="0.3">
      <c r="A72" s="2">
        <v>45325</v>
      </c>
      <c r="B72" t="s">
        <v>4</v>
      </c>
      <c r="C72">
        <v>584</v>
      </c>
      <c r="D72">
        <v>12</v>
      </c>
    </row>
    <row r="73" spans="1:4" x14ac:dyDescent="0.3">
      <c r="A73" s="2">
        <v>45954</v>
      </c>
      <c r="B73" t="s">
        <v>6</v>
      </c>
      <c r="C73">
        <v>1398</v>
      </c>
      <c r="D73">
        <v>13.5</v>
      </c>
    </row>
    <row r="74" spans="1:4" x14ac:dyDescent="0.3">
      <c r="A74" s="2">
        <v>45910</v>
      </c>
      <c r="B74" t="s">
        <v>4</v>
      </c>
      <c r="C74">
        <v>3900</v>
      </c>
      <c r="D74">
        <v>13.5</v>
      </c>
    </row>
    <row r="75" spans="1:4" x14ac:dyDescent="0.3">
      <c r="A75" s="2">
        <v>45866</v>
      </c>
      <c r="B75" t="s">
        <v>4</v>
      </c>
      <c r="C75">
        <v>2970</v>
      </c>
      <c r="D75">
        <v>13.5</v>
      </c>
    </row>
    <row r="76" spans="1:4" x14ac:dyDescent="0.3">
      <c r="A76" s="2">
        <v>45537</v>
      </c>
      <c r="B76" t="s">
        <v>4</v>
      </c>
      <c r="C76">
        <v>1743</v>
      </c>
      <c r="D76">
        <v>12.5</v>
      </c>
    </row>
    <row r="77" spans="1:4" x14ac:dyDescent="0.3">
      <c r="A77" s="2">
        <v>45829</v>
      </c>
      <c r="B77" t="s">
        <v>4</v>
      </c>
      <c r="C77">
        <v>2187</v>
      </c>
      <c r="D77">
        <v>13</v>
      </c>
    </row>
    <row r="78" spans="1:4" x14ac:dyDescent="0.3">
      <c r="A78" s="2">
        <v>45368</v>
      </c>
      <c r="B78" t="s">
        <v>5</v>
      </c>
      <c r="C78">
        <v>1026</v>
      </c>
      <c r="D78">
        <v>12</v>
      </c>
    </row>
    <row r="79" spans="1:4" x14ac:dyDescent="0.3">
      <c r="A79" s="2">
        <v>45747</v>
      </c>
      <c r="B79" t="s">
        <v>5</v>
      </c>
      <c r="C79">
        <v>491</v>
      </c>
      <c r="D79">
        <v>13</v>
      </c>
    </row>
    <row r="80" spans="1:4" x14ac:dyDescent="0.3">
      <c r="A80" s="2">
        <v>45530</v>
      </c>
      <c r="B80" t="s">
        <v>6</v>
      </c>
      <c r="C80">
        <v>4140</v>
      </c>
      <c r="D80">
        <v>12.5</v>
      </c>
    </row>
    <row r="81" spans="1:4" x14ac:dyDescent="0.3">
      <c r="A81" s="2">
        <v>45454</v>
      </c>
      <c r="B81" t="s">
        <v>6</v>
      </c>
      <c r="C81">
        <v>1405</v>
      </c>
      <c r="D81">
        <v>12</v>
      </c>
    </row>
    <row r="82" spans="1:4" x14ac:dyDescent="0.3">
      <c r="A82" s="2">
        <v>45794</v>
      </c>
      <c r="B82" t="s">
        <v>6</v>
      </c>
      <c r="C82">
        <v>3459</v>
      </c>
      <c r="D82">
        <v>13</v>
      </c>
    </row>
    <row r="83" spans="1:4" x14ac:dyDescent="0.3">
      <c r="A83" s="2">
        <v>45540</v>
      </c>
      <c r="B83" t="s">
        <v>5</v>
      </c>
      <c r="C83">
        <v>4910</v>
      </c>
      <c r="D83">
        <v>12.5</v>
      </c>
    </row>
    <row r="84" spans="1:4" x14ac:dyDescent="0.3">
      <c r="A84" s="2">
        <v>45884</v>
      </c>
      <c r="B84" t="s">
        <v>4</v>
      </c>
      <c r="C84">
        <v>1178</v>
      </c>
      <c r="D84">
        <v>13.5</v>
      </c>
    </row>
    <row r="85" spans="1:4" x14ac:dyDescent="0.3">
      <c r="A85" s="2">
        <v>45641</v>
      </c>
      <c r="B85" t="s">
        <v>4</v>
      </c>
      <c r="C85">
        <v>4912</v>
      </c>
      <c r="D85">
        <v>12.5</v>
      </c>
    </row>
    <row r="86" spans="1:4" x14ac:dyDescent="0.3">
      <c r="A86" s="2">
        <v>45425</v>
      </c>
      <c r="B86" t="s">
        <v>5</v>
      </c>
      <c r="C86">
        <v>3880</v>
      </c>
      <c r="D86">
        <v>12</v>
      </c>
    </row>
    <row r="87" spans="1:4" x14ac:dyDescent="0.3">
      <c r="A87" s="2">
        <v>45945</v>
      </c>
      <c r="B87" t="s">
        <v>5</v>
      </c>
      <c r="C87">
        <v>205</v>
      </c>
      <c r="D87">
        <v>13.5</v>
      </c>
    </row>
    <row r="88" spans="1:4" x14ac:dyDescent="0.3">
      <c r="A88" s="2">
        <v>45428</v>
      </c>
      <c r="B88" t="s">
        <v>4</v>
      </c>
      <c r="C88">
        <v>4242</v>
      </c>
      <c r="D88">
        <v>12</v>
      </c>
    </row>
    <row r="89" spans="1:4" x14ac:dyDescent="0.3">
      <c r="A89" s="2">
        <v>45935</v>
      </c>
      <c r="B89" t="s">
        <v>5</v>
      </c>
      <c r="C89">
        <v>1309</v>
      </c>
      <c r="D89">
        <v>13.5</v>
      </c>
    </row>
    <row r="90" spans="1:4" x14ac:dyDescent="0.3">
      <c r="A90" s="2">
        <v>45736</v>
      </c>
      <c r="B90" t="s">
        <v>6</v>
      </c>
      <c r="C90">
        <v>4981</v>
      </c>
      <c r="D90">
        <v>13</v>
      </c>
    </row>
    <row r="91" spans="1:4" x14ac:dyDescent="0.3">
      <c r="A91" s="2">
        <v>45522</v>
      </c>
      <c r="B91" t="s">
        <v>4</v>
      </c>
      <c r="C91">
        <v>3519</v>
      </c>
      <c r="D91">
        <v>12.5</v>
      </c>
    </row>
    <row r="92" spans="1:4" x14ac:dyDescent="0.3">
      <c r="A92" s="2">
        <v>45723</v>
      </c>
      <c r="B92" t="s">
        <v>6</v>
      </c>
      <c r="C92">
        <v>4715</v>
      </c>
      <c r="D92">
        <v>13</v>
      </c>
    </row>
    <row r="93" spans="1:4" x14ac:dyDescent="0.3">
      <c r="A93" s="2">
        <v>45326</v>
      </c>
      <c r="B93" t="s">
        <v>4</v>
      </c>
      <c r="C93">
        <v>3291</v>
      </c>
      <c r="D93">
        <v>12</v>
      </c>
    </row>
    <row r="94" spans="1:4" x14ac:dyDescent="0.3">
      <c r="A94" s="2">
        <v>45543</v>
      </c>
      <c r="B94" t="s">
        <v>4</v>
      </c>
      <c r="C94">
        <v>2753</v>
      </c>
      <c r="D94">
        <v>12.5</v>
      </c>
    </row>
    <row r="95" spans="1:4" x14ac:dyDescent="0.3">
      <c r="A95" s="2">
        <v>45803</v>
      </c>
      <c r="B95" t="s">
        <v>4</v>
      </c>
      <c r="C95">
        <v>2000</v>
      </c>
      <c r="D95">
        <v>13</v>
      </c>
    </row>
    <row r="96" spans="1:4" x14ac:dyDescent="0.3">
      <c r="A96" s="2">
        <v>45862</v>
      </c>
      <c r="B96" t="s">
        <v>6</v>
      </c>
      <c r="C96">
        <v>4083</v>
      </c>
      <c r="D96">
        <v>13.5</v>
      </c>
    </row>
    <row r="97" spans="1:4" x14ac:dyDescent="0.3">
      <c r="A97" s="2">
        <v>45814</v>
      </c>
      <c r="B97" t="s">
        <v>5</v>
      </c>
      <c r="C97">
        <v>4847</v>
      </c>
      <c r="D97">
        <v>13</v>
      </c>
    </row>
    <row r="98" spans="1:4" x14ac:dyDescent="0.3">
      <c r="A98" s="2">
        <v>45301</v>
      </c>
      <c r="B98" t="s">
        <v>6</v>
      </c>
      <c r="C98">
        <v>4524</v>
      </c>
      <c r="D98">
        <v>12</v>
      </c>
    </row>
    <row r="99" spans="1:4" x14ac:dyDescent="0.3">
      <c r="A99" s="2">
        <v>45511</v>
      </c>
      <c r="B99" t="s">
        <v>6</v>
      </c>
      <c r="C99">
        <v>1363</v>
      </c>
      <c r="D99">
        <v>12.5</v>
      </c>
    </row>
    <row r="100" spans="1:4" x14ac:dyDescent="0.3">
      <c r="A100" s="2">
        <v>45407</v>
      </c>
      <c r="B100" t="s">
        <v>6</v>
      </c>
      <c r="C100">
        <v>2737</v>
      </c>
      <c r="D100">
        <v>12</v>
      </c>
    </row>
    <row r="101" spans="1:4" x14ac:dyDescent="0.3">
      <c r="A101" s="2">
        <v>45665</v>
      </c>
      <c r="B101" t="s">
        <v>6</v>
      </c>
      <c r="C101">
        <v>3196</v>
      </c>
      <c r="D101">
        <v>13</v>
      </c>
    </row>
    <row r="102" spans="1:4" x14ac:dyDescent="0.3">
      <c r="A102" s="2">
        <v>45975</v>
      </c>
      <c r="B102" t="s">
        <v>6</v>
      </c>
      <c r="C102">
        <v>4240</v>
      </c>
      <c r="D102">
        <v>13.5</v>
      </c>
    </row>
    <row r="103" spans="1:4" x14ac:dyDescent="0.3">
      <c r="A103" s="2">
        <v>45589</v>
      </c>
      <c r="B103" t="s">
        <v>5</v>
      </c>
      <c r="C103">
        <v>4273</v>
      </c>
      <c r="D103">
        <v>12.5</v>
      </c>
    </row>
    <row r="104" spans="1:4" x14ac:dyDescent="0.3">
      <c r="A104" s="2">
        <v>45512</v>
      </c>
      <c r="B104" t="s">
        <v>6</v>
      </c>
      <c r="C104">
        <v>1193</v>
      </c>
      <c r="D104">
        <v>12.5</v>
      </c>
    </row>
    <row r="105" spans="1:4" x14ac:dyDescent="0.3">
      <c r="A105" s="2">
        <v>45941</v>
      </c>
      <c r="B105" t="s">
        <v>4</v>
      </c>
      <c r="C105">
        <v>3878</v>
      </c>
      <c r="D105">
        <v>13.5</v>
      </c>
    </row>
    <row r="106" spans="1:4" x14ac:dyDescent="0.3">
      <c r="A106" s="2">
        <v>45425</v>
      </c>
      <c r="B106" t="s">
        <v>4</v>
      </c>
      <c r="C106">
        <v>3371</v>
      </c>
      <c r="D106">
        <v>12</v>
      </c>
    </row>
    <row r="107" spans="1:4" x14ac:dyDescent="0.3">
      <c r="A107" s="2">
        <v>45753</v>
      </c>
      <c r="B107" t="s">
        <v>5</v>
      </c>
      <c r="C107">
        <v>1297</v>
      </c>
      <c r="D107">
        <v>13</v>
      </c>
    </row>
    <row r="108" spans="1:4" x14ac:dyDescent="0.3">
      <c r="A108" s="2">
        <v>45914</v>
      </c>
      <c r="B108" t="s">
        <v>5</v>
      </c>
      <c r="C108">
        <v>2421</v>
      </c>
      <c r="D108">
        <v>13.5</v>
      </c>
    </row>
    <row r="109" spans="1:4" x14ac:dyDescent="0.3">
      <c r="A109" s="2">
        <v>45844</v>
      </c>
      <c r="B109" t="s">
        <v>5</v>
      </c>
      <c r="C109">
        <v>3275</v>
      </c>
      <c r="D109">
        <v>13.5</v>
      </c>
    </row>
    <row r="110" spans="1:4" x14ac:dyDescent="0.3">
      <c r="A110" s="2">
        <v>45849</v>
      </c>
      <c r="B110" t="s">
        <v>5</v>
      </c>
      <c r="C110">
        <v>915</v>
      </c>
      <c r="D110">
        <v>13.5</v>
      </c>
    </row>
    <row r="111" spans="1:4" x14ac:dyDescent="0.3">
      <c r="A111" s="2">
        <v>45738</v>
      </c>
      <c r="B111" t="s">
        <v>4</v>
      </c>
      <c r="C111">
        <v>4369</v>
      </c>
      <c r="D111">
        <v>13</v>
      </c>
    </row>
    <row r="112" spans="1:4" x14ac:dyDescent="0.3">
      <c r="A112" s="2">
        <v>45928</v>
      </c>
      <c r="B112" t="s">
        <v>6</v>
      </c>
      <c r="C112">
        <v>4894</v>
      </c>
      <c r="D112">
        <v>13.5</v>
      </c>
    </row>
    <row r="113" spans="1:4" x14ac:dyDescent="0.3">
      <c r="A113" s="2">
        <v>45488</v>
      </c>
      <c r="B113" t="s">
        <v>6</v>
      </c>
      <c r="C113">
        <v>4061</v>
      </c>
      <c r="D113">
        <v>12.5</v>
      </c>
    </row>
    <row r="114" spans="1:4" x14ac:dyDescent="0.3">
      <c r="A114" s="2">
        <v>45502</v>
      </c>
      <c r="B114" t="s">
        <v>4</v>
      </c>
      <c r="C114">
        <v>1557</v>
      </c>
      <c r="D114">
        <v>12.5</v>
      </c>
    </row>
    <row r="115" spans="1:4" x14ac:dyDescent="0.3">
      <c r="A115" s="2">
        <v>45774</v>
      </c>
      <c r="B115" t="s">
        <v>6</v>
      </c>
      <c r="C115">
        <v>640</v>
      </c>
      <c r="D115">
        <v>13</v>
      </c>
    </row>
    <row r="116" spans="1:4" x14ac:dyDescent="0.3">
      <c r="A116" s="2">
        <v>45801</v>
      </c>
      <c r="B116" t="s">
        <v>5</v>
      </c>
      <c r="C116">
        <v>1948</v>
      </c>
      <c r="D116">
        <v>13</v>
      </c>
    </row>
    <row r="117" spans="1:4" x14ac:dyDescent="0.3">
      <c r="A117" s="2">
        <v>45986</v>
      </c>
      <c r="B117" t="s">
        <v>4</v>
      </c>
      <c r="C117">
        <v>3766</v>
      </c>
      <c r="D117">
        <v>13.5</v>
      </c>
    </row>
    <row r="118" spans="1:4" x14ac:dyDescent="0.3">
      <c r="A118" s="2">
        <v>45927</v>
      </c>
      <c r="B118" t="s">
        <v>6</v>
      </c>
      <c r="C118">
        <v>4959</v>
      </c>
      <c r="D118">
        <v>13.5</v>
      </c>
    </row>
    <row r="119" spans="1:4" x14ac:dyDescent="0.3">
      <c r="A119" s="2">
        <v>45326</v>
      </c>
      <c r="B119" t="s">
        <v>4</v>
      </c>
      <c r="C119">
        <v>2786</v>
      </c>
      <c r="D119">
        <v>12</v>
      </c>
    </row>
    <row r="120" spans="1:4" x14ac:dyDescent="0.3">
      <c r="A120" s="2">
        <v>46017</v>
      </c>
      <c r="B120" t="s">
        <v>4</v>
      </c>
      <c r="C120">
        <v>3278</v>
      </c>
      <c r="D120">
        <v>13.5</v>
      </c>
    </row>
    <row r="121" spans="1:4" x14ac:dyDescent="0.3">
      <c r="A121" s="2">
        <v>45965</v>
      </c>
      <c r="B121" t="s">
        <v>5</v>
      </c>
      <c r="C121">
        <v>3012</v>
      </c>
      <c r="D121">
        <v>13.5</v>
      </c>
    </row>
    <row r="122" spans="1:4" x14ac:dyDescent="0.3">
      <c r="A122" s="2">
        <v>45458</v>
      </c>
      <c r="B122" t="s">
        <v>5</v>
      </c>
      <c r="C122">
        <v>641</v>
      </c>
      <c r="D122">
        <v>12</v>
      </c>
    </row>
    <row r="123" spans="1:4" x14ac:dyDescent="0.3">
      <c r="A123" s="2">
        <v>45481</v>
      </c>
      <c r="B123" t="s">
        <v>6</v>
      </c>
      <c r="C123">
        <v>4346</v>
      </c>
      <c r="D123">
        <v>12.5</v>
      </c>
    </row>
    <row r="124" spans="1:4" x14ac:dyDescent="0.3">
      <c r="A124" s="2">
        <v>45335</v>
      </c>
      <c r="B124" t="s">
        <v>5</v>
      </c>
      <c r="C124">
        <v>1914</v>
      </c>
      <c r="D124">
        <v>12</v>
      </c>
    </row>
    <row r="125" spans="1:4" x14ac:dyDescent="0.3">
      <c r="A125" s="2">
        <v>45723</v>
      </c>
      <c r="B125" t="s">
        <v>6</v>
      </c>
      <c r="C125">
        <v>720</v>
      </c>
      <c r="D125">
        <v>13</v>
      </c>
    </row>
    <row r="126" spans="1:4" x14ac:dyDescent="0.3">
      <c r="A126" s="2">
        <v>45641</v>
      </c>
      <c r="B126" t="s">
        <v>4</v>
      </c>
      <c r="C126">
        <v>851</v>
      </c>
      <c r="D126">
        <v>12.5</v>
      </c>
    </row>
    <row r="127" spans="1:4" x14ac:dyDescent="0.3">
      <c r="A127" s="2">
        <v>45444</v>
      </c>
      <c r="B127" t="s">
        <v>6</v>
      </c>
      <c r="C127">
        <v>3862</v>
      </c>
      <c r="D127">
        <v>12</v>
      </c>
    </row>
    <row r="128" spans="1:4" x14ac:dyDescent="0.3">
      <c r="A128" s="2">
        <v>45654</v>
      </c>
      <c r="B128" t="s">
        <v>5</v>
      </c>
      <c r="C128">
        <v>3441</v>
      </c>
      <c r="D128">
        <v>12.5</v>
      </c>
    </row>
    <row r="129" spans="1:4" x14ac:dyDescent="0.3">
      <c r="A129" s="2">
        <v>46006</v>
      </c>
      <c r="B129" t="s">
        <v>6</v>
      </c>
      <c r="C129">
        <v>1583</v>
      </c>
      <c r="D129">
        <v>13.5</v>
      </c>
    </row>
    <row r="130" spans="1:4" x14ac:dyDescent="0.3">
      <c r="A130" s="2">
        <v>45302</v>
      </c>
      <c r="B130" t="s">
        <v>5</v>
      </c>
      <c r="C130">
        <v>2070</v>
      </c>
      <c r="D130">
        <v>12</v>
      </c>
    </row>
    <row r="131" spans="1:4" x14ac:dyDescent="0.3">
      <c r="A131" s="2">
        <v>45860</v>
      </c>
      <c r="B131" t="s">
        <v>4</v>
      </c>
      <c r="C131">
        <v>4473</v>
      </c>
      <c r="D131">
        <v>13.5</v>
      </c>
    </row>
    <row r="132" spans="1:4" x14ac:dyDescent="0.3">
      <c r="A132" s="2">
        <v>45929</v>
      </c>
      <c r="B132" t="s">
        <v>5</v>
      </c>
      <c r="C132">
        <v>1726</v>
      </c>
      <c r="D132">
        <v>13.5</v>
      </c>
    </row>
    <row r="133" spans="1:4" x14ac:dyDescent="0.3">
      <c r="A133" s="2">
        <v>45869</v>
      </c>
      <c r="B133" t="s">
        <v>5</v>
      </c>
      <c r="C133">
        <v>2584</v>
      </c>
      <c r="D133">
        <v>13.5</v>
      </c>
    </row>
    <row r="134" spans="1:4" x14ac:dyDescent="0.3">
      <c r="A134" s="2">
        <v>45474</v>
      </c>
      <c r="B134" t="s">
        <v>5</v>
      </c>
      <c r="C134">
        <v>4344</v>
      </c>
      <c r="D134">
        <v>12.5</v>
      </c>
    </row>
    <row r="135" spans="1:4" x14ac:dyDescent="0.3">
      <c r="A135" s="2">
        <v>45838</v>
      </c>
      <c r="B135" t="s">
        <v>6</v>
      </c>
      <c r="C135">
        <v>4581</v>
      </c>
      <c r="D135">
        <v>13</v>
      </c>
    </row>
    <row r="136" spans="1:4" x14ac:dyDescent="0.3">
      <c r="A136" s="2">
        <v>45307</v>
      </c>
      <c r="B136" t="s">
        <v>4</v>
      </c>
      <c r="C136">
        <v>2947</v>
      </c>
      <c r="D136">
        <v>12</v>
      </c>
    </row>
    <row r="137" spans="1:4" x14ac:dyDescent="0.3">
      <c r="A137" s="2">
        <v>45595</v>
      </c>
      <c r="B137" t="s">
        <v>6</v>
      </c>
      <c r="C137">
        <v>421</v>
      </c>
      <c r="D137">
        <v>12.5</v>
      </c>
    </row>
    <row r="138" spans="1:4" x14ac:dyDescent="0.3">
      <c r="A138" s="2">
        <v>45911</v>
      </c>
      <c r="B138" t="s">
        <v>5</v>
      </c>
      <c r="C138">
        <v>367</v>
      </c>
      <c r="D138">
        <v>13.5</v>
      </c>
    </row>
    <row r="139" spans="1:4" x14ac:dyDescent="0.3">
      <c r="A139" s="2">
        <v>45961</v>
      </c>
      <c r="B139" t="s">
        <v>6</v>
      </c>
      <c r="C139">
        <v>3087</v>
      </c>
      <c r="D139">
        <v>13.5</v>
      </c>
    </row>
    <row r="140" spans="1:4" x14ac:dyDescent="0.3">
      <c r="A140" s="2">
        <v>45757</v>
      </c>
      <c r="B140" t="s">
        <v>5</v>
      </c>
      <c r="C140">
        <v>336</v>
      </c>
      <c r="D140">
        <v>13</v>
      </c>
    </row>
    <row r="141" spans="1:4" x14ac:dyDescent="0.3">
      <c r="A141" s="2">
        <v>45406</v>
      </c>
      <c r="B141" t="s">
        <v>5</v>
      </c>
      <c r="C141">
        <v>1317</v>
      </c>
      <c r="D141">
        <v>12</v>
      </c>
    </row>
    <row r="142" spans="1:4" x14ac:dyDescent="0.3">
      <c r="A142" s="2">
        <v>46000</v>
      </c>
      <c r="B142" t="s">
        <v>4</v>
      </c>
      <c r="C142">
        <v>1320</v>
      </c>
      <c r="D142">
        <v>13.5</v>
      </c>
    </row>
    <row r="143" spans="1:4" x14ac:dyDescent="0.3">
      <c r="A143" s="2">
        <v>45906</v>
      </c>
      <c r="B143" t="s">
        <v>4</v>
      </c>
      <c r="C143">
        <v>3499</v>
      </c>
      <c r="D143">
        <v>13.5</v>
      </c>
    </row>
    <row r="144" spans="1:4" x14ac:dyDescent="0.3">
      <c r="A144" s="2">
        <v>45724</v>
      </c>
      <c r="B144" t="s">
        <v>4</v>
      </c>
      <c r="C144">
        <v>4472</v>
      </c>
      <c r="D144">
        <v>13</v>
      </c>
    </row>
    <row r="145" spans="1:4" x14ac:dyDescent="0.3">
      <c r="A145" s="2">
        <v>45596</v>
      </c>
      <c r="B145" t="s">
        <v>5</v>
      </c>
      <c r="C145">
        <v>4784</v>
      </c>
      <c r="D145">
        <v>12.5</v>
      </c>
    </row>
    <row r="146" spans="1:4" x14ac:dyDescent="0.3">
      <c r="A146" s="2">
        <v>45884</v>
      </c>
      <c r="B146" t="s">
        <v>6</v>
      </c>
      <c r="C146">
        <v>3666</v>
      </c>
      <c r="D146">
        <v>13.5</v>
      </c>
    </row>
    <row r="147" spans="1:4" x14ac:dyDescent="0.3">
      <c r="A147" s="2">
        <v>45639</v>
      </c>
      <c r="B147" t="s">
        <v>4</v>
      </c>
      <c r="C147">
        <v>1172</v>
      </c>
      <c r="D147">
        <v>12.5</v>
      </c>
    </row>
    <row r="148" spans="1:4" x14ac:dyDescent="0.3">
      <c r="A148" s="2">
        <v>45444</v>
      </c>
      <c r="B148" t="s">
        <v>4</v>
      </c>
      <c r="C148">
        <v>3719</v>
      </c>
      <c r="D148">
        <v>12</v>
      </c>
    </row>
    <row r="149" spans="1:4" x14ac:dyDescent="0.3">
      <c r="A149" s="2">
        <v>45897</v>
      </c>
      <c r="B149" t="s">
        <v>6</v>
      </c>
      <c r="C149">
        <v>4876</v>
      </c>
      <c r="D149">
        <v>13.5</v>
      </c>
    </row>
    <row r="150" spans="1:4" x14ac:dyDescent="0.3">
      <c r="A150" s="2">
        <v>45870</v>
      </c>
      <c r="B150" t="s">
        <v>4</v>
      </c>
      <c r="C150">
        <v>2230</v>
      </c>
      <c r="D150">
        <v>13.5</v>
      </c>
    </row>
    <row r="151" spans="1:4" x14ac:dyDescent="0.3">
      <c r="A151" s="2">
        <v>45382</v>
      </c>
      <c r="B151" t="s">
        <v>4</v>
      </c>
      <c r="C151">
        <v>3432</v>
      </c>
      <c r="D151">
        <v>12</v>
      </c>
    </row>
    <row r="152" spans="1:4" x14ac:dyDescent="0.3">
      <c r="A152" s="2">
        <v>45509</v>
      </c>
      <c r="B152" t="s">
        <v>5</v>
      </c>
      <c r="C152">
        <v>4094</v>
      </c>
      <c r="D152">
        <v>12.5</v>
      </c>
    </row>
    <row r="153" spans="1:4" x14ac:dyDescent="0.3">
      <c r="A153" s="2">
        <v>45528</v>
      </c>
      <c r="B153" t="s">
        <v>6</v>
      </c>
      <c r="C153">
        <v>1336</v>
      </c>
      <c r="D153">
        <v>12.5</v>
      </c>
    </row>
    <row r="154" spans="1:4" x14ac:dyDescent="0.3">
      <c r="A154" s="2">
        <v>45812</v>
      </c>
      <c r="B154" t="s">
        <v>4</v>
      </c>
      <c r="C154">
        <v>4340</v>
      </c>
      <c r="D154">
        <v>13</v>
      </c>
    </row>
    <row r="155" spans="1:4" x14ac:dyDescent="0.3">
      <c r="A155" s="2">
        <v>45391</v>
      </c>
      <c r="B155" t="s">
        <v>6</v>
      </c>
      <c r="C155">
        <v>3749</v>
      </c>
      <c r="D155">
        <v>12</v>
      </c>
    </row>
    <row r="156" spans="1:4" x14ac:dyDescent="0.3">
      <c r="A156" s="2">
        <v>45408</v>
      </c>
      <c r="B156" t="s">
        <v>4</v>
      </c>
      <c r="C156">
        <v>1725</v>
      </c>
      <c r="D156">
        <v>12</v>
      </c>
    </row>
    <row r="157" spans="1:4" x14ac:dyDescent="0.3">
      <c r="A157" s="2">
        <v>45871</v>
      </c>
      <c r="B157" t="s">
        <v>6</v>
      </c>
      <c r="C157">
        <v>3459</v>
      </c>
      <c r="D157">
        <v>13.5</v>
      </c>
    </row>
    <row r="158" spans="1:4" x14ac:dyDescent="0.3">
      <c r="A158" s="2">
        <v>45723</v>
      </c>
      <c r="B158" t="s">
        <v>6</v>
      </c>
      <c r="C158">
        <v>2998</v>
      </c>
      <c r="D158">
        <v>13</v>
      </c>
    </row>
    <row r="159" spans="1:4" x14ac:dyDescent="0.3">
      <c r="A159" s="2">
        <v>45363</v>
      </c>
      <c r="B159" t="s">
        <v>6</v>
      </c>
      <c r="C159">
        <v>212</v>
      </c>
      <c r="D159">
        <v>12</v>
      </c>
    </row>
    <row r="160" spans="1:4" x14ac:dyDescent="0.3">
      <c r="A160" s="2">
        <v>45625</v>
      </c>
      <c r="B160" t="s">
        <v>4</v>
      </c>
      <c r="C160">
        <v>1156</v>
      </c>
      <c r="D160">
        <v>12.5</v>
      </c>
    </row>
    <row r="161" spans="1:4" x14ac:dyDescent="0.3">
      <c r="A161" s="2">
        <v>45358</v>
      </c>
      <c r="B161" t="s">
        <v>5</v>
      </c>
      <c r="C161">
        <v>382</v>
      </c>
      <c r="D161">
        <v>12</v>
      </c>
    </row>
    <row r="162" spans="1:4" x14ac:dyDescent="0.3">
      <c r="A162" s="2">
        <v>45634</v>
      </c>
      <c r="B162" t="s">
        <v>4</v>
      </c>
      <c r="C162">
        <v>1931</v>
      </c>
      <c r="D162">
        <v>12.5</v>
      </c>
    </row>
    <row r="163" spans="1:4" x14ac:dyDescent="0.3">
      <c r="A163" s="2">
        <v>45951</v>
      </c>
      <c r="B163" t="s">
        <v>6</v>
      </c>
      <c r="C163">
        <v>622</v>
      </c>
      <c r="D163">
        <v>13.5</v>
      </c>
    </row>
    <row r="164" spans="1:4" x14ac:dyDescent="0.3">
      <c r="A164" s="2">
        <v>45753</v>
      </c>
      <c r="B164" t="s">
        <v>5</v>
      </c>
      <c r="C164">
        <v>2490</v>
      </c>
      <c r="D164">
        <v>13</v>
      </c>
    </row>
    <row r="165" spans="1:4" x14ac:dyDescent="0.3">
      <c r="A165" s="2">
        <v>45810</v>
      </c>
      <c r="B165" t="s">
        <v>6</v>
      </c>
      <c r="C165">
        <v>675</v>
      </c>
      <c r="D165">
        <v>13</v>
      </c>
    </row>
    <row r="166" spans="1:4" x14ac:dyDescent="0.3">
      <c r="A166" s="2">
        <v>45381</v>
      </c>
      <c r="B166" t="s">
        <v>5</v>
      </c>
      <c r="C166">
        <v>1424</v>
      </c>
      <c r="D166">
        <v>12</v>
      </c>
    </row>
    <row r="167" spans="1:4" x14ac:dyDescent="0.3">
      <c r="A167" s="2">
        <v>45473</v>
      </c>
      <c r="B167" t="s">
        <v>4</v>
      </c>
      <c r="C167">
        <v>4797</v>
      </c>
      <c r="D167">
        <v>12</v>
      </c>
    </row>
    <row r="168" spans="1:4" x14ac:dyDescent="0.3">
      <c r="A168" s="2">
        <v>45864</v>
      </c>
      <c r="B168" t="s">
        <v>6</v>
      </c>
      <c r="C168">
        <v>913</v>
      </c>
      <c r="D168">
        <v>13.5</v>
      </c>
    </row>
    <row r="169" spans="1:4" x14ac:dyDescent="0.3">
      <c r="A169" s="2">
        <v>45970</v>
      </c>
      <c r="B169" t="s">
        <v>6</v>
      </c>
      <c r="C169">
        <v>1949</v>
      </c>
      <c r="D169">
        <v>13.5</v>
      </c>
    </row>
    <row r="170" spans="1:4" x14ac:dyDescent="0.3">
      <c r="A170" s="2">
        <v>45463</v>
      </c>
      <c r="B170" t="s">
        <v>4</v>
      </c>
      <c r="C170">
        <v>4771</v>
      </c>
      <c r="D170">
        <v>12</v>
      </c>
    </row>
    <row r="171" spans="1:4" x14ac:dyDescent="0.3">
      <c r="A171" s="2">
        <v>45666</v>
      </c>
      <c r="B171" t="s">
        <v>5</v>
      </c>
      <c r="C171">
        <v>4823</v>
      </c>
      <c r="D171">
        <v>13</v>
      </c>
    </row>
    <row r="172" spans="1:4" x14ac:dyDescent="0.3">
      <c r="A172" s="2">
        <v>45343</v>
      </c>
      <c r="B172" t="s">
        <v>5</v>
      </c>
      <c r="C172">
        <v>2501</v>
      </c>
      <c r="D172">
        <v>12</v>
      </c>
    </row>
    <row r="173" spans="1:4" x14ac:dyDescent="0.3">
      <c r="A173" s="2">
        <v>45724</v>
      </c>
      <c r="B173" t="s">
        <v>5</v>
      </c>
      <c r="C173">
        <v>4025</v>
      </c>
      <c r="D173">
        <v>13</v>
      </c>
    </row>
    <row r="174" spans="1:4" x14ac:dyDescent="0.3">
      <c r="A174" s="2">
        <v>45636</v>
      </c>
      <c r="B174" t="s">
        <v>5</v>
      </c>
      <c r="C174">
        <v>4426</v>
      </c>
      <c r="D174">
        <v>12.5</v>
      </c>
    </row>
    <row r="175" spans="1:4" x14ac:dyDescent="0.3">
      <c r="A175" s="2">
        <v>45950</v>
      </c>
      <c r="B175" t="s">
        <v>6</v>
      </c>
      <c r="C175">
        <v>3993</v>
      </c>
      <c r="D175">
        <v>13.5</v>
      </c>
    </row>
    <row r="176" spans="1:4" x14ac:dyDescent="0.3">
      <c r="A176" s="2">
        <v>45388</v>
      </c>
      <c r="B176" t="s">
        <v>5</v>
      </c>
      <c r="C176">
        <v>3701</v>
      </c>
      <c r="D176">
        <v>12</v>
      </c>
    </row>
    <row r="177" spans="1:4" x14ac:dyDescent="0.3">
      <c r="A177" s="2">
        <v>45796</v>
      </c>
      <c r="B177" t="s">
        <v>5</v>
      </c>
      <c r="C177">
        <v>2001</v>
      </c>
      <c r="D177">
        <v>13</v>
      </c>
    </row>
    <row r="178" spans="1:4" x14ac:dyDescent="0.3">
      <c r="A178" s="2">
        <v>45587</v>
      </c>
      <c r="B178" t="s">
        <v>6</v>
      </c>
      <c r="C178">
        <v>2734</v>
      </c>
      <c r="D178">
        <v>12.5</v>
      </c>
    </row>
    <row r="179" spans="1:4" x14ac:dyDescent="0.3">
      <c r="A179" s="2">
        <v>45695</v>
      </c>
      <c r="B179" t="s">
        <v>4</v>
      </c>
      <c r="C179">
        <v>2665</v>
      </c>
      <c r="D179">
        <v>13</v>
      </c>
    </row>
    <row r="180" spans="1:4" x14ac:dyDescent="0.3">
      <c r="A180" s="2">
        <v>45326</v>
      </c>
      <c r="B180" t="s">
        <v>6</v>
      </c>
      <c r="C180">
        <v>2329</v>
      </c>
      <c r="D180">
        <v>12</v>
      </c>
    </row>
    <row r="181" spans="1:4" x14ac:dyDescent="0.3">
      <c r="A181" s="2">
        <v>45776</v>
      </c>
      <c r="B181" t="s">
        <v>5</v>
      </c>
      <c r="C181">
        <v>4009</v>
      </c>
      <c r="D181">
        <v>13</v>
      </c>
    </row>
    <row r="182" spans="1:4" x14ac:dyDescent="0.3">
      <c r="A182" s="2">
        <v>45697</v>
      </c>
      <c r="B182" t="s">
        <v>5</v>
      </c>
      <c r="C182">
        <v>2632</v>
      </c>
      <c r="D182">
        <v>13</v>
      </c>
    </row>
    <row r="183" spans="1:4" x14ac:dyDescent="0.3">
      <c r="A183" s="2">
        <v>45499</v>
      </c>
      <c r="B183" t="s">
        <v>6</v>
      </c>
      <c r="C183">
        <v>4485</v>
      </c>
      <c r="D183">
        <v>12.5</v>
      </c>
    </row>
    <row r="184" spans="1:4" x14ac:dyDescent="0.3">
      <c r="A184" s="2">
        <v>45510</v>
      </c>
      <c r="B184" t="s">
        <v>4</v>
      </c>
      <c r="C184">
        <v>390</v>
      </c>
      <c r="D184">
        <v>12.5</v>
      </c>
    </row>
    <row r="185" spans="1:4" x14ac:dyDescent="0.3">
      <c r="A185" s="2">
        <v>45512</v>
      </c>
      <c r="B185" t="s">
        <v>4</v>
      </c>
      <c r="C185">
        <v>334</v>
      </c>
      <c r="D185">
        <v>12.5</v>
      </c>
    </row>
    <row r="186" spans="1:4" x14ac:dyDescent="0.3">
      <c r="A186" s="2">
        <v>45859</v>
      </c>
      <c r="B186" t="s">
        <v>4</v>
      </c>
      <c r="C186">
        <v>296</v>
      </c>
      <c r="D186">
        <v>13.5</v>
      </c>
    </row>
    <row r="187" spans="1:4" x14ac:dyDescent="0.3">
      <c r="A187" s="2">
        <v>45722</v>
      </c>
      <c r="B187" t="s">
        <v>4</v>
      </c>
      <c r="C187">
        <v>1502</v>
      </c>
      <c r="D187">
        <v>13</v>
      </c>
    </row>
    <row r="188" spans="1:4" x14ac:dyDescent="0.3">
      <c r="A188" s="2">
        <v>45329</v>
      </c>
      <c r="B188" t="s">
        <v>4</v>
      </c>
      <c r="C188">
        <v>1983</v>
      </c>
      <c r="D188">
        <v>12</v>
      </c>
    </row>
    <row r="189" spans="1:4" x14ac:dyDescent="0.3">
      <c r="A189" s="2">
        <v>45865</v>
      </c>
      <c r="B189" t="s">
        <v>4</v>
      </c>
      <c r="C189">
        <v>1412</v>
      </c>
      <c r="D189">
        <v>13.5</v>
      </c>
    </row>
    <row r="190" spans="1:4" x14ac:dyDescent="0.3">
      <c r="A190" s="2">
        <v>45966</v>
      </c>
      <c r="B190" t="s">
        <v>6</v>
      </c>
      <c r="C190">
        <v>3665</v>
      </c>
      <c r="D190">
        <v>13.5</v>
      </c>
    </row>
    <row r="191" spans="1:4" x14ac:dyDescent="0.3">
      <c r="A191" s="2">
        <v>45722</v>
      </c>
      <c r="B191" t="s">
        <v>5</v>
      </c>
      <c r="C191">
        <v>2192</v>
      </c>
      <c r="D191">
        <v>13</v>
      </c>
    </row>
    <row r="192" spans="1:4" x14ac:dyDescent="0.3">
      <c r="A192" s="2">
        <v>45841</v>
      </c>
      <c r="B192" t="s">
        <v>5</v>
      </c>
      <c r="C192">
        <v>4232</v>
      </c>
      <c r="D192">
        <v>13.5</v>
      </c>
    </row>
    <row r="193" spans="1:4" x14ac:dyDescent="0.3">
      <c r="A193" s="2">
        <v>45346</v>
      </c>
      <c r="B193" t="s">
        <v>5</v>
      </c>
      <c r="C193">
        <v>1921</v>
      </c>
      <c r="D193">
        <v>12</v>
      </c>
    </row>
    <row r="194" spans="1:4" x14ac:dyDescent="0.3">
      <c r="A194" s="2">
        <v>45670</v>
      </c>
      <c r="B194" t="s">
        <v>4</v>
      </c>
      <c r="C194">
        <v>2291</v>
      </c>
      <c r="D194">
        <v>13</v>
      </c>
    </row>
    <row r="195" spans="1:4" x14ac:dyDescent="0.3">
      <c r="A195" s="2">
        <v>45932</v>
      </c>
      <c r="B195" t="s">
        <v>6</v>
      </c>
      <c r="C195">
        <v>4179</v>
      </c>
      <c r="D195">
        <v>13.5</v>
      </c>
    </row>
    <row r="196" spans="1:4" x14ac:dyDescent="0.3">
      <c r="A196" s="2">
        <v>45746</v>
      </c>
      <c r="B196" t="s">
        <v>5</v>
      </c>
      <c r="C196">
        <v>2404</v>
      </c>
      <c r="D196">
        <v>13</v>
      </c>
    </row>
    <row r="197" spans="1:4" x14ac:dyDescent="0.3">
      <c r="A197" s="2">
        <v>45496</v>
      </c>
      <c r="B197" t="s">
        <v>6</v>
      </c>
      <c r="C197">
        <v>1130</v>
      </c>
      <c r="D197">
        <v>12.5</v>
      </c>
    </row>
    <row r="198" spans="1:4" x14ac:dyDescent="0.3">
      <c r="A198" s="2">
        <v>45322</v>
      </c>
      <c r="B198" t="s">
        <v>5</v>
      </c>
      <c r="C198">
        <v>1857</v>
      </c>
      <c r="D198">
        <v>12</v>
      </c>
    </row>
    <row r="199" spans="1:4" x14ac:dyDescent="0.3">
      <c r="A199" s="2">
        <v>45599</v>
      </c>
      <c r="B199" t="s">
        <v>4</v>
      </c>
      <c r="C199">
        <v>4286</v>
      </c>
      <c r="D199">
        <v>12.5</v>
      </c>
    </row>
    <row r="200" spans="1:4" x14ac:dyDescent="0.3">
      <c r="A200" s="2">
        <v>45791</v>
      </c>
      <c r="B200" t="s">
        <v>6</v>
      </c>
      <c r="C200">
        <v>990</v>
      </c>
      <c r="D200">
        <v>13</v>
      </c>
    </row>
    <row r="201" spans="1:4" x14ac:dyDescent="0.3">
      <c r="A201" s="2">
        <v>45489</v>
      </c>
      <c r="B201" t="s">
        <v>4</v>
      </c>
      <c r="C201">
        <v>1756</v>
      </c>
      <c r="D201">
        <v>12.5</v>
      </c>
    </row>
    <row r="202" spans="1:4" x14ac:dyDescent="0.3">
      <c r="A202" s="2">
        <v>45918</v>
      </c>
      <c r="B202" t="s">
        <v>4</v>
      </c>
      <c r="C202">
        <v>2638</v>
      </c>
      <c r="D202">
        <v>13.5</v>
      </c>
    </row>
    <row r="203" spans="1:4" x14ac:dyDescent="0.3">
      <c r="A203" s="2">
        <v>45316</v>
      </c>
      <c r="B203" t="s">
        <v>6</v>
      </c>
      <c r="C203">
        <v>1893</v>
      </c>
      <c r="D203">
        <v>12</v>
      </c>
    </row>
    <row r="204" spans="1:4" x14ac:dyDescent="0.3">
      <c r="A204" s="2">
        <v>45899</v>
      </c>
      <c r="B204" t="s">
        <v>4</v>
      </c>
      <c r="C204">
        <v>863</v>
      </c>
      <c r="D204">
        <v>13.5</v>
      </c>
    </row>
    <row r="205" spans="1:4" x14ac:dyDescent="0.3">
      <c r="A205" s="2">
        <v>45685</v>
      </c>
      <c r="B205" t="s">
        <v>6</v>
      </c>
      <c r="C205">
        <v>2587</v>
      </c>
      <c r="D205">
        <v>13</v>
      </c>
    </row>
    <row r="206" spans="1:4" x14ac:dyDescent="0.3">
      <c r="A206" s="2">
        <v>45832</v>
      </c>
      <c r="B206" t="s">
        <v>6</v>
      </c>
      <c r="C206">
        <v>1032</v>
      </c>
      <c r="D206">
        <v>13</v>
      </c>
    </row>
    <row r="207" spans="1:4" x14ac:dyDescent="0.3">
      <c r="A207" s="2">
        <v>45372</v>
      </c>
      <c r="B207" t="s">
        <v>6</v>
      </c>
      <c r="C207">
        <v>3267</v>
      </c>
      <c r="D207">
        <v>12</v>
      </c>
    </row>
    <row r="208" spans="1:4" x14ac:dyDescent="0.3">
      <c r="A208" s="2">
        <v>45964</v>
      </c>
      <c r="B208" t="s">
        <v>5</v>
      </c>
      <c r="C208">
        <v>1888</v>
      </c>
      <c r="D208">
        <v>13.5</v>
      </c>
    </row>
    <row r="209" spans="1:4" x14ac:dyDescent="0.3">
      <c r="A209" s="2">
        <v>45470</v>
      </c>
      <c r="B209" t="s">
        <v>5</v>
      </c>
      <c r="C209">
        <v>3526</v>
      </c>
      <c r="D209">
        <v>12</v>
      </c>
    </row>
    <row r="210" spans="1:4" x14ac:dyDescent="0.3">
      <c r="A210" s="2">
        <v>45503</v>
      </c>
      <c r="B210" t="s">
        <v>6</v>
      </c>
      <c r="C210">
        <v>2312</v>
      </c>
      <c r="D210">
        <v>12.5</v>
      </c>
    </row>
    <row r="211" spans="1:4" x14ac:dyDescent="0.3">
      <c r="A211" s="2">
        <v>45342</v>
      </c>
      <c r="B211" t="s">
        <v>5</v>
      </c>
      <c r="C211">
        <v>2143</v>
      </c>
      <c r="D211">
        <v>12</v>
      </c>
    </row>
    <row r="212" spans="1:4" x14ac:dyDescent="0.3">
      <c r="A212" s="2">
        <v>45391</v>
      </c>
      <c r="B212" t="s">
        <v>4</v>
      </c>
      <c r="C212">
        <v>4496</v>
      </c>
      <c r="D212">
        <v>12</v>
      </c>
    </row>
    <row r="213" spans="1:4" x14ac:dyDescent="0.3">
      <c r="A213" s="2">
        <v>45419</v>
      </c>
      <c r="B213" t="s">
        <v>6</v>
      </c>
      <c r="C213">
        <v>2454</v>
      </c>
      <c r="D213">
        <v>12</v>
      </c>
    </row>
    <row r="214" spans="1:4" x14ac:dyDescent="0.3">
      <c r="A214" s="2">
        <v>45478</v>
      </c>
      <c r="B214" t="s">
        <v>6</v>
      </c>
      <c r="C214">
        <v>1495</v>
      </c>
      <c r="D214">
        <v>12.5</v>
      </c>
    </row>
    <row r="215" spans="1:4" x14ac:dyDescent="0.3">
      <c r="A215" s="2">
        <v>45347</v>
      </c>
      <c r="B215" t="s">
        <v>5</v>
      </c>
      <c r="C215">
        <v>908</v>
      </c>
      <c r="D215">
        <v>12</v>
      </c>
    </row>
    <row r="216" spans="1:4" x14ac:dyDescent="0.3">
      <c r="A216" s="2">
        <v>45799</v>
      </c>
      <c r="B216" t="s">
        <v>6</v>
      </c>
      <c r="C216">
        <v>4852</v>
      </c>
      <c r="D216">
        <v>13</v>
      </c>
    </row>
    <row r="217" spans="1:4" x14ac:dyDescent="0.3">
      <c r="A217" s="2">
        <v>45555</v>
      </c>
      <c r="B217" t="s">
        <v>5</v>
      </c>
      <c r="C217">
        <v>4226</v>
      </c>
      <c r="D217">
        <v>12.5</v>
      </c>
    </row>
    <row r="218" spans="1:4" x14ac:dyDescent="0.3">
      <c r="A218" s="2">
        <v>45294</v>
      </c>
      <c r="B218" t="s">
        <v>5</v>
      </c>
      <c r="C218">
        <v>3756</v>
      </c>
      <c r="D218">
        <v>12</v>
      </c>
    </row>
    <row r="219" spans="1:4" x14ac:dyDescent="0.3">
      <c r="A219" s="2">
        <v>45660</v>
      </c>
      <c r="B219" t="s">
        <v>6</v>
      </c>
      <c r="C219">
        <v>1182</v>
      </c>
      <c r="D219">
        <v>13</v>
      </c>
    </row>
    <row r="220" spans="1:4" x14ac:dyDescent="0.3">
      <c r="A220" s="2">
        <v>45403</v>
      </c>
      <c r="B220" t="s">
        <v>5</v>
      </c>
      <c r="C220">
        <v>282</v>
      </c>
      <c r="D220">
        <v>12</v>
      </c>
    </row>
    <row r="221" spans="1:4" x14ac:dyDescent="0.3">
      <c r="A221" s="2">
        <v>45778</v>
      </c>
      <c r="B221" t="s">
        <v>5</v>
      </c>
      <c r="C221">
        <v>1209</v>
      </c>
      <c r="D221">
        <v>13</v>
      </c>
    </row>
    <row r="222" spans="1:4" x14ac:dyDescent="0.3">
      <c r="A222" s="2">
        <v>45471</v>
      </c>
      <c r="B222" t="s">
        <v>5</v>
      </c>
      <c r="C222">
        <v>1827</v>
      </c>
      <c r="D222">
        <v>12</v>
      </c>
    </row>
    <row r="223" spans="1:4" x14ac:dyDescent="0.3">
      <c r="A223" s="2">
        <v>45908</v>
      </c>
      <c r="B223" t="s">
        <v>4</v>
      </c>
      <c r="C223">
        <v>994</v>
      </c>
      <c r="D223">
        <v>13.5</v>
      </c>
    </row>
    <row r="224" spans="1:4" x14ac:dyDescent="0.3">
      <c r="A224" s="2">
        <v>45308</v>
      </c>
      <c r="B224" t="s">
        <v>6</v>
      </c>
      <c r="C224">
        <v>320</v>
      </c>
      <c r="D224">
        <v>12</v>
      </c>
    </row>
    <row r="225" spans="1:4" x14ac:dyDescent="0.3">
      <c r="A225" s="2">
        <v>45698</v>
      </c>
      <c r="B225" t="s">
        <v>4</v>
      </c>
      <c r="C225">
        <v>3433</v>
      </c>
      <c r="D225">
        <v>13</v>
      </c>
    </row>
    <row r="226" spans="1:4" x14ac:dyDescent="0.3">
      <c r="A226" s="2">
        <v>45500</v>
      </c>
      <c r="B226" t="s">
        <v>6</v>
      </c>
      <c r="C226">
        <v>3043</v>
      </c>
      <c r="D226">
        <v>12.5</v>
      </c>
    </row>
    <row r="227" spans="1:4" x14ac:dyDescent="0.3">
      <c r="A227" s="2">
        <v>45403</v>
      </c>
      <c r="B227" t="s">
        <v>5</v>
      </c>
      <c r="C227">
        <v>447</v>
      </c>
      <c r="D227">
        <v>12</v>
      </c>
    </row>
    <row r="228" spans="1:4" x14ac:dyDescent="0.3">
      <c r="A228" s="2">
        <v>45759</v>
      </c>
      <c r="B228" t="s">
        <v>5</v>
      </c>
      <c r="C228">
        <v>4199</v>
      </c>
      <c r="D228">
        <v>13</v>
      </c>
    </row>
    <row r="229" spans="1:4" x14ac:dyDescent="0.3">
      <c r="A229" s="2">
        <v>45468</v>
      </c>
      <c r="B229" t="s">
        <v>4</v>
      </c>
      <c r="C229">
        <v>461</v>
      </c>
      <c r="D229">
        <v>12</v>
      </c>
    </row>
    <row r="230" spans="1:4" x14ac:dyDescent="0.3">
      <c r="A230" s="2">
        <v>45996</v>
      </c>
      <c r="B230" t="s">
        <v>6</v>
      </c>
      <c r="C230">
        <v>1798</v>
      </c>
      <c r="D230">
        <v>13.5</v>
      </c>
    </row>
    <row r="231" spans="1:4" x14ac:dyDescent="0.3">
      <c r="A231" s="2">
        <v>45982</v>
      </c>
      <c r="B231" t="s">
        <v>5</v>
      </c>
      <c r="C231">
        <v>1625</v>
      </c>
      <c r="D231">
        <v>13.5</v>
      </c>
    </row>
    <row r="232" spans="1:4" x14ac:dyDescent="0.3">
      <c r="A232" s="2">
        <v>45331</v>
      </c>
      <c r="B232" t="s">
        <v>6</v>
      </c>
      <c r="C232">
        <v>4526</v>
      </c>
      <c r="D232">
        <v>12</v>
      </c>
    </row>
    <row r="233" spans="1:4" x14ac:dyDescent="0.3">
      <c r="A233" s="2">
        <v>46021</v>
      </c>
      <c r="B233" t="s">
        <v>5</v>
      </c>
      <c r="C233">
        <v>1158</v>
      </c>
      <c r="D233">
        <v>13.5</v>
      </c>
    </row>
    <row r="234" spans="1:4" x14ac:dyDescent="0.3">
      <c r="A234" s="2">
        <v>45312</v>
      </c>
      <c r="B234" t="s">
        <v>5</v>
      </c>
      <c r="C234">
        <v>1600</v>
      </c>
      <c r="D234">
        <v>12</v>
      </c>
    </row>
    <row r="235" spans="1:4" x14ac:dyDescent="0.3">
      <c r="A235" s="2">
        <v>45351</v>
      </c>
      <c r="B235" t="s">
        <v>6</v>
      </c>
      <c r="C235">
        <v>3336</v>
      </c>
      <c r="D235">
        <v>12</v>
      </c>
    </row>
    <row r="236" spans="1:4" x14ac:dyDescent="0.3">
      <c r="A236" s="2">
        <v>45334</v>
      </c>
      <c r="B236" t="s">
        <v>6</v>
      </c>
      <c r="C236">
        <v>4596</v>
      </c>
      <c r="D236">
        <v>12</v>
      </c>
    </row>
    <row r="237" spans="1:4" x14ac:dyDescent="0.3">
      <c r="A237" s="2">
        <v>45325</v>
      </c>
      <c r="B237" t="s">
        <v>6</v>
      </c>
      <c r="C237">
        <v>3608</v>
      </c>
      <c r="D237">
        <v>12</v>
      </c>
    </row>
    <row r="238" spans="1:4" x14ac:dyDescent="0.3">
      <c r="A238" s="2">
        <v>46003</v>
      </c>
      <c r="B238" t="s">
        <v>5</v>
      </c>
      <c r="C238">
        <v>3004</v>
      </c>
      <c r="D238">
        <v>13.5</v>
      </c>
    </row>
    <row r="239" spans="1:4" x14ac:dyDescent="0.3">
      <c r="A239" s="2">
        <v>45773</v>
      </c>
      <c r="B239" t="s">
        <v>4</v>
      </c>
      <c r="C239">
        <v>4411</v>
      </c>
      <c r="D239">
        <v>13</v>
      </c>
    </row>
    <row r="240" spans="1:4" x14ac:dyDescent="0.3">
      <c r="A240" s="2">
        <v>45663</v>
      </c>
      <c r="B240" t="s">
        <v>4</v>
      </c>
      <c r="C240">
        <v>3254</v>
      </c>
      <c r="D240">
        <v>13</v>
      </c>
    </row>
    <row r="241" spans="1:4" x14ac:dyDescent="0.3">
      <c r="A241" s="2">
        <v>45562</v>
      </c>
      <c r="B241" t="s">
        <v>5</v>
      </c>
      <c r="C241">
        <v>3233</v>
      </c>
      <c r="D241">
        <v>12.5</v>
      </c>
    </row>
    <row r="242" spans="1:4" x14ac:dyDescent="0.3">
      <c r="A242" s="2">
        <v>45349</v>
      </c>
      <c r="B242" t="s">
        <v>6</v>
      </c>
      <c r="C242">
        <v>3279</v>
      </c>
      <c r="D242">
        <v>12</v>
      </c>
    </row>
    <row r="243" spans="1:4" x14ac:dyDescent="0.3">
      <c r="A243" s="2">
        <v>45301</v>
      </c>
      <c r="B243" t="s">
        <v>5</v>
      </c>
      <c r="C243">
        <v>2283</v>
      </c>
      <c r="D243">
        <v>12</v>
      </c>
    </row>
    <row r="244" spans="1:4" x14ac:dyDescent="0.3">
      <c r="A244" s="2">
        <v>45316</v>
      </c>
      <c r="B244" t="s">
        <v>5</v>
      </c>
      <c r="C244">
        <v>2970</v>
      </c>
      <c r="D244">
        <v>12</v>
      </c>
    </row>
    <row r="245" spans="1:4" x14ac:dyDescent="0.3">
      <c r="A245" s="2">
        <v>45975</v>
      </c>
      <c r="B245" t="s">
        <v>5</v>
      </c>
      <c r="C245">
        <v>1813</v>
      </c>
      <c r="D245">
        <v>13.5</v>
      </c>
    </row>
    <row r="246" spans="1:4" x14ac:dyDescent="0.3">
      <c r="A246" s="2">
        <v>45515</v>
      </c>
      <c r="B246" t="s">
        <v>5</v>
      </c>
      <c r="C246">
        <v>1315</v>
      </c>
      <c r="D246">
        <v>12.5</v>
      </c>
    </row>
    <row r="247" spans="1:4" x14ac:dyDescent="0.3">
      <c r="A247" s="2">
        <v>45574</v>
      </c>
      <c r="B247" t="s">
        <v>6</v>
      </c>
      <c r="C247">
        <v>4897</v>
      </c>
      <c r="D247">
        <v>12.5</v>
      </c>
    </row>
    <row r="248" spans="1:4" x14ac:dyDescent="0.3">
      <c r="A248" s="2">
        <v>45991</v>
      </c>
      <c r="B248" t="s">
        <v>4</v>
      </c>
      <c r="C248">
        <v>4859</v>
      </c>
      <c r="D248">
        <v>13.5</v>
      </c>
    </row>
    <row r="249" spans="1:4" x14ac:dyDescent="0.3">
      <c r="A249" s="2">
        <v>45671</v>
      </c>
      <c r="B249" t="s">
        <v>5</v>
      </c>
      <c r="C249">
        <v>302</v>
      </c>
      <c r="D249">
        <v>13</v>
      </c>
    </row>
    <row r="250" spans="1:4" x14ac:dyDescent="0.3">
      <c r="A250" s="2">
        <v>45503</v>
      </c>
      <c r="B250" t="s">
        <v>6</v>
      </c>
      <c r="C250">
        <v>3629</v>
      </c>
      <c r="D250">
        <v>12.5</v>
      </c>
    </row>
    <row r="251" spans="1:4" x14ac:dyDescent="0.3">
      <c r="A251" s="2">
        <v>45740</v>
      </c>
      <c r="B251" t="s">
        <v>4</v>
      </c>
      <c r="C251">
        <v>803</v>
      </c>
      <c r="D251">
        <v>13</v>
      </c>
    </row>
  </sheetData>
  <pageMargins left="0.7" right="0.7" top="0.75" bottom="0.75" header="0.3" footer="0.3"/>
  <headerFooter>
    <oddFooter>&amp;C_x000D_&amp;1#&amp;"Calibri"&amp;8&amp;K000000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CE28-F556-46C0-A71E-CC72D63083E9}">
  <dimension ref="A2:D26"/>
  <sheetViews>
    <sheetView workbookViewId="0">
      <selection activeCell="B9" sqref="B9"/>
    </sheetView>
  </sheetViews>
  <sheetFormatPr defaultRowHeight="14.4" x14ac:dyDescent="0.3"/>
  <cols>
    <col min="1" max="1" width="26.88671875" bestFit="1" customWidth="1"/>
    <col min="2" max="2" width="19.109375" bestFit="1" customWidth="1"/>
    <col min="4" max="4" width="11.33203125" customWidth="1"/>
  </cols>
  <sheetData>
    <row r="2" spans="1:4" x14ac:dyDescent="0.3">
      <c r="A2" t="s">
        <v>11</v>
      </c>
      <c r="B2" t="s">
        <v>8</v>
      </c>
      <c r="D2" t="s">
        <v>8</v>
      </c>
    </row>
    <row r="3" spans="1:4" x14ac:dyDescent="0.3">
      <c r="D3" t="s">
        <v>9</v>
      </c>
    </row>
    <row r="4" spans="1:4" x14ac:dyDescent="0.3">
      <c r="D4" t="s">
        <v>10</v>
      </c>
    </row>
    <row r="8" spans="1:4" x14ac:dyDescent="0.3">
      <c r="A8" t="s">
        <v>11</v>
      </c>
      <c r="B8" t="s">
        <v>12</v>
      </c>
    </row>
    <row r="9" spans="1:4" x14ac:dyDescent="0.3">
      <c r="A9" t="s">
        <v>8</v>
      </c>
      <c r="B9" s="6">
        <v>0.05</v>
      </c>
    </row>
    <row r="10" spans="1:4" x14ac:dyDescent="0.3">
      <c r="A10" t="s">
        <v>9</v>
      </c>
      <c r="B10" s="6">
        <v>0.08</v>
      </c>
    </row>
    <row r="11" spans="1:4" x14ac:dyDescent="0.3">
      <c r="A11" t="s">
        <v>10</v>
      </c>
      <c r="B11" s="6">
        <v>0.02</v>
      </c>
    </row>
    <row r="12" spans="1:4" x14ac:dyDescent="0.3">
      <c r="B12" s="5"/>
    </row>
    <row r="13" spans="1:4" x14ac:dyDescent="0.3">
      <c r="A13" t="s">
        <v>13</v>
      </c>
      <c r="B13" t="s">
        <v>14</v>
      </c>
    </row>
    <row r="14" spans="1:4" x14ac:dyDescent="0.3">
      <c r="A14" t="s">
        <v>15</v>
      </c>
      <c r="B14" s="4">
        <v>0.95</v>
      </c>
    </row>
    <row r="15" spans="1:4" x14ac:dyDescent="0.3">
      <c r="A15" t="s">
        <v>16</v>
      </c>
      <c r="B15" s="5">
        <v>1</v>
      </c>
    </row>
    <row r="16" spans="1:4" x14ac:dyDescent="0.3">
      <c r="A16" t="s">
        <v>17</v>
      </c>
      <c r="B16" s="5">
        <v>1.1000000000000001</v>
      </c>
    </row>
    <row r="17" spans="1:2" x14ac:dyDescent="0.3">
      <c r="A17" t="s">
        <v>18</v>
      </c>
      <c r="B17" s="5">
        <v>1.1499999999999999</v>
      </c>
    </row>
    <row r="19" spans="1:2" x14ac:dyDescent="0.3">
      <c r="A19" s="9" t="s">
        <v>19</v>
      </c>
    </row>
    <row r="21" spans="1:2" x14ac:dyDescent="0.3">
      <c r="A21" s="10" t="s">
        <v>20</v>
      </c>
      <c r="B21" s="8">
        <v>3000</v>
      </c>
    </row>
    <row r="24" spans="1:2" x14ac:dyDescent="0.3">
      <c r="A24" s="9" t="s">
        <v>21</v>
      </c>
    </row>
    <row r="26" spans="1:2" x14ac:dyDescent="0.3">
      <c r="A26" t="s">
        <v>22</v>
      </c>
      <c r="B26" s="11">
        <v>0</v>
      </c>
    </row>
  </sheetData>
  <phoneticPr fontId="3" type="noConversion"/>
  <dataValidations count="1">
    <dataValidation type="list" allowBlank="1" showInputMessage="1" showErrorMessage="1" sqref="B2" xr:uid="{772C4E5B-FB50-4429-9A09-C29501C512A0}">
      <formula1>$D$2:$D$4</formula1>
    </dataValidation>
  </dataValidations>
  <pageMargins left="0.7" right="0.7" top="0.75" bottom="0.75" header="0.3" footer="0.3"/>
  <headerFooter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FB44-926A-48E4-B50E-FF45DC9BFEF7}">
  <dimension ref="A1:L251"/>
  <sheetViews>
    <sheetView workbookViewId="0">
      <selection activeCell="N12" sqref="N12"/>
    </sheetView>
  </sheetViews>
  <sheetFormatPr defaultRowHeight="14.4" x14ac:dyDescent="0.3"/>
  <cols>
    <col min="1" max="1" width="13.21875" customWidth="1"/>
    <col min="2" max="2" width="13" customWidth="1"/>
    <col min="3" max="3" width="15.77734375" customWidth="1"/>
    <col min="4" max="4" width="13.77734375" customWidth="1"/>
    <col min="5" max="5" width="16.6640625" customWidth="1"/>
    <col min="6" max="6" width="32.77734375" customWidth="1"/>
    <col min="7" max="7" width="16" customWidth="1"/>
    <col min="8" max="8" width="22.77734375" customWidth="1"/>
    <col min="9" max="9" width="21.21875" customWidth="1"/>
    <col min="10" max="10" width="20" style="12" customWidth="1"/>
    <col min="11" max="11" width="0" hidden="1" customWidth="1"/>
    <col min="12" max="12" width="15" customWidth="1"/>
  </cols>
  <sheetData>
    <row r="1" spans="1:12" x14ac:dyDescent="0.3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30</v>
      </c>
      <c r="G1" t="s">
        <v>26</v>
      </c>
      <c r="H1" t="s">
        <v>27</v>
      </c>
      <c r="I1" t="s">
        <v>28</v>
      </c>
      <c r="J1" s="12" t="s">
        <v>29</v>
      </c>
      <c r="K1" t="s">
        <v>7</v>
      </c>
      <c r="L1" t="s">
        <v>34</v>
      </c>
    </row>
    <row r="2" spans="1:12" x14ac:dyDescent="0.3">
      <c r="A2" s="1">
        <v>45510</v>
      </c>
      <c r="B2" t="s">
        <v>6</v>
      </c>
      <c r="C2">
        <v>1063</v>
      </c>
      <c r="D2" s="3" cm="1">
        <f t="array" ref="D2">_xlfn.SWITCH(Assumptions!$B$2,"Base",Assumptions!$B$9,"Optimistic",Assumptions!$B$10,"Pessimistic",Assumptions!$B$11)</f>
        <v>0.05</v>
      </c>
      <c r="E2">
        <f>_xlfn.XLOOKUP(K2,Assumptions!$A$14:$A$17,Assumptions!$B$14:$B$17,0,0,1)</f>
        <v>1.1000000000000001</v>
      </c>
      <c r="F2" s="5">
        <f>C2*(1+D2)*E2</f>
        <v>1227.7650000000001</v>
      </c>
      <c r="G2" s="7">
        <f>Assumptions!$B$21</f>
        <v>3000</v>
      </c>
      <c r="H2" s="5">
        <f>MIN(F2,G2)</f>
        <v>1227.7650000000001</v>
      </c>
      <c r="I2">
        <f>Tbl_RawData[[#This Row],[Unit_price]]*(1+Assumptions!$B$26)</f>
        <v>12.5</v>
      </c>
      <c r="J2" s="12">
        <f>H2*I2</f>
        <v>15347.062500000002</v>
      </c>
      <c r="K2" t="str">
        <f>"Q"&amp;ROUNDUP(MONTH(A2)/3,0)</f>
        <v>Q3</v>
      </c>
      <c r="L2" s="1">
        <f>EOMONTH(Tbl_Forecast[[#This Row],[Date]],0)</f>
        <v>45535</v>
      </c>
    </row>
    <row r="3" spans="1:12" x14ac:dyDescent="0.3">
      <c r="A3" s="1">
        <v>45500</v>
      </c>
      <c r="B3" t="s">
        <v>4</v>
      </c>
      <c r="C3">
        <v>2892</v>
      </c>
      <c r="D3" s="3" cm="1">
        <f t="array" ref="D3">_xlfn.SWITCH(Assumptions!$B$2,"Base",Assumptions!$B$9,"Optimistic",Assumptions!$B$10,"Pessimistic",Assumptions!$B$11)</f>
        <v>0.05</v>
      </c>
      <c r="E3">
        <f>_xlfn.XLOOKUP(K3,Assumptions!$A$14:$A$17,Assumptions!$B$14:$B$17,0,0,1)</f>
        <v>1.1000000000000001</v>
      </c>
      <c r="F3" s="5">
        <f t="shared" ref="F3:F66" si="0">C3*(1+D3)*E3</f>
        <v>3340.26</v>
      </c>
      <c r="G3" s="7">
        <f>Assumptions!$B$21</f>
        <v>3000</v>
      </c>
      <c r="H3" s="5">
        <f t="shared" ref="H3:H66" si="1">MIN(F3,G3)</f>
        <v>3000</v>
      </c>
      <c r="I3">
        <f>Tbl_RawData[[#This Row],[Unit_price]]*(1+Assumptions!$B$26)</f>
        <v>12.5</v>
      </c>
      <c r="J3" s="12">
        <f t="shared" ref="J3:J66" si="2">H3*I3</f>
        <v>37500</v>
      </c>
      <c r="K3" t="str">
        <f t="shared" ref="K3:K66" si="3">"Q"&amp;ROUNDUP(MONTH(A3)/3,0)</f>
        <v>Q3</v>
      </c>
      <c r="L3" s="1">
        <f>EOMONTH(Tbl_Forecast[[#This Row],[Date]],0)</f>
        <v>45504</v>
      </c>
    </row>
    <row r="4" spans="1:12" x14ac:dyDescent="0.3">
      <c r="A4" s="1">
        <v>45529</v>
      </c>
      <c r="B4" t="s">
        <v>5</v>
      </c>
      <c r="C4">
        <v>2388</v>
      </c>
      <c r="D4" s="3" cm="1">
        <f t="array" ref="D4">_xlfn.SWITCH(Assumptions!$B$2,"Base",Assumptions!$B$9,"Optimistic",Assumptions!$B$10,"Pessimistic",Assumptions!$B$11)</f>
        <v>0.05</v>
      </c>
      <c r="E4">
        <f>_xlfn.XLOOKUP(K4,Assumptions!$A$14:$A$17,Assumptions!$B$14:$B$17,0,0,1)</f>
        <v>1.1000000000000001</v>
      </c>
      <c r="F4" s="5">
        <f t="shared" si="0"/>
        <v>2758.1400000000003</v>
      </c>
      <c r="G4" s="7">
        <f>Assumptions!$B$21</f>
        <v>3000</v>
      </c>
      <c r="H4" s="5">
        <f t="shared" si="1"/>
        <v>2758.1400000000003</v>
      </c>
      <c r="I4">
        <f>Tbl_RawData[[#This Row],[Unit_price]]*(1+Assumptions!$B$26)</f>
        <v>12.5</v>
      </c>
      <c r="J4" s="12">
        <f t="shared" si="2"/>
        <v>34476.750000000007</v>
      </c>
      <c r="K4" t="str">
        <f t="shared" si="3"/>
        <v>Q3</v>
      </c>
      <c r="L4" s="1">
        <f>EOMONTH(Tbl_Forecast[[#This Row],[Date]],0)</f>
        <v>45535</v>
      </c>
    </row>
    <row r="5" spans="1:12" x14ac:dyDescent="0.3">
      <c r="A5" s="1">
        <v>45621</v>
      </c>
      <c r="B5" t="s">
        <v>6</v>
      </c>
      <c r="C5">
        <v>1199</v>
      </c>
      <c r="D5" s="3" cm="1">
        <f t="array" ref="D5">_xlfn.SWITCH(Assumptions!$B$2,"Base",Assumptions!$B$9,"Optimistic",Assumptions!$B$10,"Pessimistic",Assumptions!$B$11)</f>
        <v>0.05</v>
      </c>
      <c r="E5">
        <f>_xlfn.XLOOKUP(K5,Assumptions!$A$14:$A$17,Assumptions!$B$14:$B$17,0,0,1)</f>
        <v>1.1499999999999999</v>
      </c>
      <c r="F5" s="5">
        <f t="shared" si="0"/>
        <v>1447.7925</v>
      </c>
      <c r="G5" s="7">
        <f>Assumptions!$B$21</f>
        <v>3000</v>
      </c>
      <c r="H5" s="5">
        <f t="shared" si="1"/>
        <v>1447.7925</v>
      </c>
      <c r="I5">
        <f>Tbl_RawData[[#This Row],[Unit_price]]*(1+Assumptions!$B$26)</f>
        <v>12.5</v>
      </c>
      <c r="J5" s="12">
        <f t="shared" si="2"/>
        <v>18097.40625</v>
      </c>
      <c r="K5" t="str">
        <f t="shared" si="3"/>
        <v>Q4</v>
      </c>
      <c r="L5" s="1">
        <f>EOMONTH(Tbl_Forecast[[#This Row],[Date]],0)</f>
        <v>45626</v>
      </c>
    </row>
    <row r="6" spans="1:12" x14ac:dyDescent="0.3">
      <c r="A6" s="1">
        <v>45739</v>
      </c>
      <c r="B6" t="s">
        <v>4</v>
      </c>
      <c r="C6">
        <v>847</v>
      </c>
      <c r="D6" s="3" cm="1">
        <f t="array" ref="D6">_xlfn.SWITCH(Assumptions!$B$2,"Base",Assumptions!$B$9,"Optimistic",Assumptions!$B$10,"Pessimistic",Assumptions!$B$11)</f>
        <v>0.05</v>
      </c>
      <c r="E6">
        <f>_xlfn.XLOOKUP(K6,Assumptions!$A$14:$A$17,Assumptions!$B$14:$B$17,0,0,1)</f>
        <v>0.95</v>
      </c>
      <c r="F6" s="5">
        <f t="shared" si="0"/>
        <v>844.88249999999994</v>
      </c>
      <c r="G6" s="7">
        <f>Assumptions!$B$21</f>
        <v>3000</v>
      </c>
      <c r="H6" s="5">
        <f t="shared" si="1"/>
        <v>844.88249999999994</v>
      </c>
      <c r="I6">
        <f>Tbl_RawData[[#This Row],[Unit_price]]*(1+Assumptions!$B$26)</f>
        <v>13</v>
      </c>
      <c r="J6" s="12">
        <f t="shared" si="2"/>
        <v>10983.4725</v>
      </c>
      <c r="K6" t="str">
        <f t="shared" si="3"/>
        <v>Q1</v>
      </c>
      <c r="L6" s="1">
        <f>EOMONTH(Tbl_Forecast[[#This Row],[Date]],0)</f>
        <v>45747</v>
      </c>
    </row>
    <row r="7" spans="1:12" x14ac:dyDescent="0.3">
      <c r="A7" s="1">
        <v>45834</v>
      </c>
      <c r="B7" t="s">
        <v>5</v>
      </c>
      <c r="C7">
        <v>937</v>
      </c>
      <c r="D7" s="3" cm="1">
        <f t="array" ref="D7">_xlfn.SWITCH(Assumptions!$B$2,"Base",Assumptions!$B$9,"Optimistic",Assumptions!$B$10,"Pessimistic",Assumptions!$B$11)</f>
        <v>0.05</v>
      </c>
      <c r="E7">
        <f>_xlfn.XLOOKUP(K7,Assumptions!$A$14:$A$17,Assumptions!$B$14:$B$17,0,0,1)</f>
        <v>1</v>
      </c>
      <c r="F7" s="5">
        <f t="shared" si="0"/>
        <v>983.85</v>
      </c>
      <c r="G7" s="7">
        <f>Assumptions!$B$21</f>
        <v>3000</v>
      </c>
      <c r="H7" s="5">
        <f t="shared" si="1"/>
        <v>983.85</v>
      </c>
      <c r="I7">
        <f>Tbl_RawData[[#This Row],[Unit_price]]*(1+Assumptions!$B$26)</f>
        <v>13</v>
      </c>
      <c r="J7" s="12">
        <f t="shared" si="2"/>
        <v>12790.050000000001</v>
      </c>
      <c r="K7" t="str">
        <f t="shared" si="3"/>
        <v>Q2</v>
      </c>
      <c r="L7" s="1">
        <f>EOMONTH(Tbl_Forecast[[#This Row],[Date]],0)</f>
        <v>45838</v>
      </c>
    </row>
    <row r="8" spans="1:12" x14ac:dyDescent="0.3">
      <c r="A8" s="1">
        <v>45739</v>
      </c>
      <c r="B8" t="s">
        <v>6</v>
      </c>
      <c r="C8">
        <v>3391</v>
      </c>
      <c r="D8" s="3" cm="1">
        <f t="array" ref="D8">_xlfn.SWITCH(Assumptions!$B$2,"Base",Assumptions!$B$9,"Optimistic",Assumptions!$B$10,"Pessimistic",Assumptions!$B$11)</f>
        <v>0.05</v>
      </c>
      <c r="E8">
        <f>_xlfn.XLOOKUP(K8,Assumptions!$A$14:$A$17,Assumptions!$B$14:$B$17,0,0,1)</f>
        <v>0.95</v>
      </c>
      <c r="F8" s="5">
        <f t="shared" si="0"/>
        <v>3382.5225</v>
      </c>
      <c r="G8" s="7">
        <f>Assumptions!$B$21</f>
        <v>3000</v>
      </c>
      <c r="H8" s="5">
        <f t="shared" si="1"/>
        <v>3000</v>
      </c>
      <c r="I8">
        <f>Tbl_RawData[[#This Row],[Unit_price]]*(1+Assumptions!$B$26)</f>
        <v>13</v>
      </c>
      <c r="J8" s="12">
        <f t="shared" si="2"/>
        <v>39000</v>
      </c>
      <c r="K8" t="str">
        <f t="shared" si="3"/>
        <v>Q1</v>
      </c>
      <c r="L8" s="1">
        <f>EOMONTH(Tbl_Forecast[[#This Row],[Date]],0)</f>
        <v>45747</v>
      </c>
    </row>
    <row r="9" spans="1:12" x14ac:dyDescent="0.3">
      <c r="A9" s="1">
        <v>45529</v>
      </c>
      <c r="B9" t="s">
        <v>4</v>
      </c>
      <c r="C9">
        <v>1932</v>
      </c>
      <c r="D9" s="3" cm="1">
        <f t="array" ref="D9">_xlfn.SWITCH(Assumptions!$B$2,"Base",Assumptions!$B$9,"Optimistic",Assumptions!$B$10,"Pessimistic",Assumptions!$B$11)</f>
        <v>0.05</v>
      </c>
      <c r="E9">
        <f>_xlfn.XLOOKUP(K9,Assumptions!$A$14:$A$17,Assumptions!$B$14:$B$17,0,0,1)</f>
        <v>1.1000000000000001</v>
      </c>
      <c r="F9" s="5">
        <f t="shared" si="0"/>
        <v>2231.4600000000005</v>
      </c>
      <c r="G9" s="7">
        <f>Assumptions!$B$21</f>
        <v>3000</v>
      </c>
      <c r="H9" s="5">
        <f t="shared" si="1"/>
        <v>2231.4600000000005</v>
      </c>
      <c r="I9">
        <f>Tbl_RawData[[#This Row],[Unit_price]]*(1+Assumptions!$B$26)</f>
        <v>12.5</v>
      </c>
      <c r="J9" s="12">
        <f t="shared" si="2"/>
        <v>27893.250000000007</v>
      </c>
      <c r="K9" t="str">
        <f t="shared" si="3"/>
        <v>Q3</v>
      </c>
      <c r="L9" s="1">
        <f>EOMONTH(Tbl_Forecast[[#This Row],[Date]],0)</f>
        <v>45535</v>
      </c>
    </row>
    <row r="10" spans="1:12" x14ac:dyDescent="0.3">
      <c r="A10" s="1">
        <v>46022</v>
      </c>
      <c r="B10" t="s">
        <v>6</v>
      </c>
      <c r="C10">
        <v>4963</v>
      </c>
      <c r="D10" s="3" cm="1">
        <f t="array" ref="D10">_xlfn.SWITCH(Assumptions!$B$2,"Base",Assumptions!$B$9,"Optimistic",Assumptions!$B$10,"Pessimistic",Assumptions!$B$11)</f>
        <v>0.05</v>
      </c>
      <c r="E10">
        <f>_xlfn.XLOOKUP(K10,Assumptions!$A$14:$A$17,Assumptions!$B$14:$B$17,0,0,1)</f>
        <v>1.1499999999999999</v>
      </c>
      <c r="F10" s="5">
        <f t="shared" si="0"/>
        <v>5992.8225000000002</v>
      </c>
      <c r="G10" s="7">
        <f>Assumptions!$B$21</f>
        <v>3000</v>
      </c>
      <c r="H10" s="5">
        <f t="shared" si="1"/>
        <v>3000</v>
      </c>
      <c r="I10">
        <f>Tbl_RawData[[#This Row],[Unit_price]]*(1+Assumptions!$B$26)</f>
        <v>13.5</v>
      </c>
      <c r="J10" s="12">
        <f t="shared" si="2"/>
        <v>40500</v>
      </c>
      <c r="K10" t="str">
        <f t="shared" si="3"/>
        <v>Q4</v>
      </c>
      <c r="L10" s="1">
        <f>EOMONTH(Tbl_Forecast[[#This Row],[Date]],0)</f>
        <v>46022</v>
      </c>
    </row>
    <row r="11" spans="1:12" x14ac:dyDescent="0.3">
      <c r="A11" s="1">
        <v>45489</v>
      </c>
      <c r="B11" t="s">
        <v>5</v>
      </c>
      <c r="C11">
        <v>1913</v>
      </c>
      <c r="D11" s="3" cm="1">
        <f t="array" ref="D11">_xlfn.SWITCH(Assumptions!$B$2,"Base",Assumptions!$B$9,"Optimistic",Assumptions!$B$10,"Pessimistic",Assumptions!$B$11)</f>
        <v>0.05</v>
      </c>
      <c r="E11">
        <f>_xlfn.XLOOKUP(K11,Assumptions!$A$14:$A$17,Assumptions!$B$14:$B$17,0,0,1)</f>
        <v>1.1000000000000001</v>
      </c>
      <c r="F11" s="5">
        <f t="shared" si="0"/>
        <v>2209.5150000000003</v>
      </c>
      <c r="G11" s="7">
        <f>Assumptions!$B$21</f>
        <v>3000</v>
      </c>
      <c r="H11" s="5">
        <f t="shared" si="1"/>
        <v>2209.5150000000003</v>
      </c>
      <c r="I11">
        <f>Tbl_RawData[[#This Row],[Unit_price]]*(1+Assumptions!$B$26)</f>
        <v>12.5</v>
      </c>
      <c r="J11" s="12">
        <f t="shared" si="2"/>
        <v>27618.937500000004</v>
      </c>
      <c r="K11" t="str">
        <f t="shared" si="3"/>
        <v>Q3</v>
      </c>
      <c r="L11" s="1">
        <f>EOMONTH(Tbl_Forecast[[#This Row],[Date]],0)</f>
        <v>45504</v>
      </c>
    </row>
    <row r="12" spans="1:12" x14ac:dyDescent="0.3">
      <c r="A12" s="1">
        <v>45902</v>
      </c>
      <c r="B12" t="s">
        <v>5</v>
      </c>
      <c r="C12">
        <v>3363</v>
      </c>
      <c r="D12" s="3" cm="1">
        <f t="array" ref="D12">_xlfn.SWITCH(Assumptions!$B$2,"Base",Assumptions!$B$9,"Optimistic",Assumptions!$B$10,"Pessimistic",Assumptions!$B$11)</f>
        <v>0.05</v>
      </c>
      <c r="E12">
        <f>_xlfn.XLOOKUP(K12,Assumptions!$A$14:$A$17,Assumptions!$B$14:$B$17,0,0,1)</f>
        <v>1.1000000000000001</v>
      </c>
      <c r="F12" s="5">
        <f t="shared" si="0"/>
        <v>3884.2650000000003</v>
      </c>
      <c r="G12" s="7">
        <f>Assumptions!$B$21</f>
        <v>3000</v>
      </c>
      <c r="H12" s="5">
        <f t="shared" si="1"/>
        <v>3000</v>
      </c>
      <c r="I12">
        <f>Tbl_RawData[[#This Row],[Unit_price]]*(1+Assumptions!$B$26)</f>
        <v>13.5</v>
      </c>
      <c r="J12" s="12">
        <f t="shared" si="2"/>
        <v>40500</v>
      </c>
      <c r="K12" t="str">
        <f t="shared" si="3"/>
        <v>Q3</v>
      </c>
      <c r="L12" s="1">
        <f>EOMONTH(Tbl_Forecast[[#This Row],[Date]],0)</f>
        <v>45930</v>
      </c>
    </row>
    <row r="13" spans="1:12" x14ac:dyDescent="0.3">
      <c r="A13" s="1">
        <v>45528</v>
      </c>
      <c r="B13" t="s">
        <v>6</v>
      </c>
      <c r="C13">
        <v>1064</v>
      </c>
      <c r="D13" s="3" cm="1">
        <f t="array" ref="D13">_xlfn.SWITCH(Assumptions!$B$2,"Base",Assumptions!$B$9,"Optimistic",Assumptions!$B$10,"Pessimistic",Assumptions!$B$11)</f>
        <v>0.05</v>
      </c>
      <c r="E13">
        <f>_xlfn.XLOOKUP(K13,Assumptions!$A$14:$A$17,Assumptions!$B$14:$B$17,0,0,1)</f>
        <v>1.1000000000000001</v>
      </c>
      <c r="F13" s="5">
        <f t="shared" si="0"/>
        <v>1228.92</v>
      </c>
      <c r="G13" s="7">
        <f>Assumptions!$B$21</f>
        <v>3000</v>
      </c>
      <c r="H13" s="5">
        <f t="shared" si="1"/>
        <v>1228.92</v>
      </c>
      <c r="I13">
        <f>Tbl_RawData[[#This Row],[Unit_price]]*(1+Assumptions!$B$26)</f>
        <v>12.5</v>
      </c>
      <c r="J13" s="12">
        <f t="shared" si="2"/>
        <v>15361.5</v>
      </c>
      <c r="K13" t="str">
        <f t="shared" si="3"/>
        <v>Q3</v>
      </c>
      <c r="L13" s="1">
        <f>EOMONTH(Tbl_Forecast[[#This Row],[Date]],0)</f>
        <v>45535</v>
      </c>
    </row>
    <row r="14" spans="1:12" x14ac:dyDescent="0.3">
      <c r="A14" s="1">
        <v>45891</v>
      </c>
      <c r="B14" t="s">
        <v>6</v>
      </c>
      <c r="C14">
        <v>2597</v>
      </c>
      <c r="D14" s="3" cm="1">
        <f t="array" ref="D14">_xlfn.SWITCH(Assumptions!$B$2,"Base",Assumptions!$B$9,"Optimistic",Assumptions!$B$10,"Pessimistic",Assumptions!$B$11)</f>
        <v>0.05</v>
      </c>
      <c r="E14">
        <f>_xlfn.XLOOKUP(K14,Assumptions!$A$14:$A$17,Assumptions!$B$14:$B$17,0,0,1)</f>
        <v>1.1000000000000001</v>
      </c>
      <c r="F14" s="5">
        <f t="shared" si="0"/>
        <v>2999.5350000000003</v>
      </c>
      <c r="G14" s="7">
        <f>Assumptions!$B$21</f>
        <v>3000</v>
      </c>
      <c r="H14" s="5">
        <f t="shared" si="1"/>
        <v>2999.5350000000003</v>
      </c>
      <c r="I14">
        <f>Tbl_RawData[[#This Row],[Unit_price]]*(1+Assumptions!$B$26)</f>
        <v>13.5</v>
      </c>
      <c r="J14" s="12">
        <f t="shared" si="2"/>
        <v>40493.722500000003</v>
      </c>
      <c r="K14" t="str">
        <f t="shared" si="3"/>
        <v>Q3</v>
      </c>
      <c r="L14" s="1">
        <f>EOMONTH(Tbl_Forecast[[#This Row],[Date]],0)</f>
        <v>45900</v>
      </c>
    </row>
    <row r="15" spans="1:12" x14ac:dyDescent="0.3">
      <c r="A15" s="1">
        <v>45436</v>
      </c>
      <c r="B15" t="s">
        <v>5</v>
      </c>
      <c r="C15">
        <v>3377</v>
      </c>
      <c r="D15" s="3" cm="1">
        <f t="array" ref="D15">_xlfn.SWITCH(Assumptions!$B$2,"Base",Assumptions!$B$9,"Optimistic",Assumptions!$B$10,"Pessimistic",Assumptions!$B$11)</f>
        <v>0.05</v>
      </c>
      <c r="E15">
        <f>_xlfn.XLOOKUP(K15,Assumptions!$A$14:$A$17,Assumptions!$B$14:$B$17,0,0,1)</f>
        <v>1</v>
      </c>
      <c r="F15" s="5">
        <f t="shared" si="0"/>
        <v>3545.8500000000004</v>
      </c>
      <c r="G15" s="7">
        <f>Assumptions!$B$21</f>
        <v>3000</v>
      </c>
      <c r="H15" s="5">
        <f t="shared" si="1"/>
        <v>3000</v>
      </c>
      <c r="I15">
        <f>Tbl_RawData[[#This Row],[Unit_price]]*(1+Assumptions!$B$26)</f>
        <v>12</v>
      </c>
      <c r="J15" s="12">
        <f t="shared" si="2"/>
        <v>36000</v>
      </c>
      <c r="K15" t="str">
        <f t="shared" si="3"/>
        <v>Q2</v>
      </c>
      <c r="L15" s="1">
        <f>EOMONTH(Tbl_Forecast[[#This Row],[Date]],0)</f>
        <v>45443</v>
      </c>
    </row>
    <row r="16" spans="1:12" x14ac:dyDescent="0.3">
      <c r="A16" s="1">
        <v>45310</v>
      </c>
      <c r="B16" t="s">
        <v>6</v>
      </c>
      <c r="C16">
        <v>4675</v>
      </c>
      <c r="D16" s="3" cm="1">
        <f t="array" ref="D16">_xlfn.SWITCH(Assumptions!$B$2,"Base",Assumptions!$B$9,"Optimistic",Assumptions!$B$10,"Pessimistic",Assumptions!$B$11)</f>
        <v>0.05</v>
      </c>
      <c r="E16">
        <f>_xlfn.XLOOKUP(K16,Assumptions!$A$14:$A$17,Assumptions!$B$14:$B$17,0,0,1)</f>
        <v>0.95</v>
      </c>
      <c r="F16" s="5">
        <f t="shared" si="0"/>
        <v>4663.3125</v>
      </c>
      <c r="G16" s="7">
        <f>Assumptions!$B$21</f>
        <v>3000</v>
      </c>
      <c r="H16" s="5">
        <f t="shared" si="1"/>
        <v>3000</v>
      </c>
      <c r="I16">
        <f>Tbl_RawData[[#This Row],[Unit_price]]*(1+Assumptions!$B$26)</f>
        <v>12</v>
      </c>
      <c r="J16" s="12">
        <f t="shared" si="2"/>
        <v>36000</v>
      </c>
      <c r="K16" t="str">
        <f t="shared" si="3"/>
        <v>Q1</v>
      </c>
      <c r="L16" s="1">
        <f>EOMONTH(Tbl_Forecast[[#This Row],[Date]],0)</f>
        <v>45322</v>
      </c>
    </row>
    <row r="17" spans="1:12" x14ac:dyDescent="0.3">
      <c r="A17" s="1">
        <v>45511</v>
      </c>
      <c r="B17" t="s">
        <v>4</v>
      </c>
      <c r="C17">
        <v>4002</v>
      </c>
      <c r="D17" s="3" cm="1">
        <f t="array" ref="D17">_xlfn.SWITCH(Assumptions!$B$2,"Base",Assumptions!$B$9,"Optimistic",Assumptions!$B$10,"Pessimistic",Assumptions!$B$11)</f>
        <v>0.05</v>
      </c>
      <c r="E17">
        <f>_xlfn.XLOOKUP(K17,Assumptions!$A$14:$A$17,Assumptions!$B$14:$B$17,0,0,1)</f>
        <v>1.1000000000000001</v>
      </c>
      <c r="F17" s="5">
        <f t="shared" si="0"/>
        <v>4622.3100000000004</v>
      </c>
      <c r="G17" s="7">
        <f>Assumptions!$B$21</f>
        <v>3000</v>
      </c>
      <c r="H17" s="5">
        <f t="shared" si="1"/>
        <v>3000</v>
      </c>
      <c r="I17">
        <f>Tbl_RawData[[#This Row],[Unit_price]]*(1+Assumptions!$B$26)</f>
        <v>12.5</v>
      </c>
      <c r="J17" s="12">
        <f t="shared" si="2"/>
        <v>37500</v>
      </c>
      <c r="K17" t="str">
        <f t="shared" si="3"/>
        <v>Q3</v>
      </c>
      <c r="L17" s="1">
        <f>EOMONTH(Tbl_Forecast[[#This Row],[Date]],0)</f>
        <v>45535</v>
      </c>
    </row>
    <row r="18" spans="1:12" x14ac:dyDescent="0.3">
      <c r="A18" s="1">
        <v>45796</v>
      </c>
      <c r="B18" t="s">
        <v>4</v>
      </c>
      <c r="C18">
        <v>2474</v>
      </c>
      <c r="D18" s="3" cm="1">
        <f t="array" ref="D18">_xlfn.SWITCH(Assumptions!$B$2,"Base",Assumptions!$B$9,"Optimistic",Assumptions!$B$10,"Pessimistic",Assumptions!$B$11)</f>
        <v>0.05</v>
      </c>
      <c r="E18">
        <f>_xlfn.XLOOKUP(K18,Assumptions!$A$14:$A$17,Assumptions!$B$14:$B$17,0,0,1)</f>
        <v>1</v>
      </c>
      <c r="F18" s="5">
        <f t="shared" si="0"/>
        <v>2597.7000000000003</v>
      </c>
      <c r="G18" s="7">
        <f>Assumptions!$B$21</f>
        <v>3000</v>
      </c>
      <c r="H18" s="5">
        <f t="shared" si="1"/>
        <v>2597.7000000000003</v>
      </c>
      <c r="I18">
        <f>Tbl_RawData[[#This Row],[Unit_price]]*(1+Assumptions!$B$26)</f>
        <v>13</v>
      </c>
      <c r="J18" s="12">
        <f t="shared" si="2"/>
        <v>33770.100000000006</v>
      </c>
      <c r="K18" t="str">
        <f t="shared" si="3"/>
        <v>Q2</v>
      </c>
      <c r="L18" s="1">
        <f>EOMONTH(Tbl_Forecast[[#This Row],[Date]],0)</f>
        <v>45808</v>
      </c>
    </row>
    <row r="19" spans="1:12" x14ac:dyDescent="0.3">
      <c r="A19" s="1">
        <v>45628</v>
      </c>
      <c r="B19" t="s">
        <v>5</v>
      </c>
      <c r="C19">
        <v>284</v>
      </c>
      <c r="D19" s="3" cm="1">
        <f t="array" ref="D19">_xlfn.SWITCH(Assumptions!$B$2,"Base",Assumptions!$B$9,"Optimistic",Assumptions!$B$10,"Pessimistic",Assumptions!$B$11)</f>
        <v>0.05</v>
      </c>
      <c r="E19">
        <f>_xlfn.XLOOKUP(K19,Assumptions!$A$14:$A$17,Assumptions!$B$14:$B$17,0,0,1)</f>
        <v>1.1499999999999999</v>
      </c>
      <c r="F19" s="5">
        <f t="shared" si="0"/>
        <v>342.92999999999995</v>
      </c>
      <c r="G19" s="7">
        <f>Assumptions!$B$21</f>
        <v>3000</v>
      </c>
      <c r="H19" s="5">
        <f t="shared" si="1"/>
        <v>342.92999999999995</v>
      </c>
      <c r="I19">
        <f>Tbl_RawData[[#This Row],[Unit_price]]*(1+Assumptions!$B$26)</f>
        <v>12.5</v>
      </c>
      <c r="J19" s="12">
        <f t="shared" si="2"/>
        <v>4286.6249999999991</v>
      </c>
      <c r="K19" t="str">
        <f t="shared" si="3"/>
        <v>Q4</v>
      </c>
      <c r="L19" s="1">
        <f>EOMONTH(Tbl_Forecast[[#This Row],[Date]],0)</f>
        <v>45657</v>
      </c>
    </row>
    <row r="20" spans="1:12" x14ac:dyDescent="0.3">
      <c r="A20" s="1">
        <v>45390</v>
      </c>
      <c r="B20" t="s">
        <v>5</v>
      </c>
      <c r="C20">
        <v>1743</v>
      </c>
      <c r="D20" s="3" cm="1">
        <f t="array" ref="D20">_xlfn.SWITCH(Assumptions!$B$2,"Base",Assumptions!$B$9,"Optimistic",Assumptions!$B$10,"Pessimistic",Assumptions!$B$11)</f>
        <v>0.05</v>
      </c>
      <c r="E20">
        <f>_xlfn.XLOOKUP(K20,Assumptions!$A$14:$A$17,Assumptions!$B$14:$B$17,0,0,1)</f>
        <v>1</v>
      </c>
      <c r="F20" s="5">
        <f t="shared" si="0"/>
        <v>1830.15</v>
      </c>
      <c r="G20" s="7">
        <f>Assumptions!$B$21</f>
        <v>3000</v>
      </c>
      <c r="H20" s="5">
        <f t="shared" si="1"/>
        <v>1830.15</v>
      </c>
      <c r="I20">
        <f>Tbl_RawData[[#This Row],[Unit_price]]*(1+Assumptions!$B$26)</f>
        <v>12</v>
      </c>
      <c r="J20" s="12">
        <f t="shared" si="2"/>
        <v>21961.800000000003</v>
      </c>
      <c r="K20" t="str">
        <f t="shared" si="3"/>
        <v>Q2</v>
      </c>
      <c r="L20" s="1">
        <f>EOMONTH(Tbl_Forecast[[#This Row],[Date]],0)</f>
        <v>45412</v>
      </c>
    </row>
    <row r="21" spans="1:12" x14ac:dyDescent="0.3">
      <c r="A21" s="1">
        <v>45873</v>
      </c>
      <c r="B21" t="s">
        <v>4</v>
      </c>
      <c r="C21">
        <v>2490</v>
      </c>
      <c r="D21" s="3" cm="1">
        <f t="array" ref="D21">_xlfn.SWITCH(Assumptions!$B$2,"Base",Assumptions!$B$9,"Optimistic",Assumptions!$B$10,"Pessimistic",Assumptions!$B$11)</f>
        <v>0.05</v>
      </c>
      <c r="E21">
        <f>_xlfn.XLOOKUP(K21,Assumptions!$A$14:$A$17,Assumptions!$B$14:$B$17,0,0,1)</f>
        <v>1.1000000000000001</v>
      </c>
      <c r="F21" s="5">
        <f t="shared" si="0"/>
        <v>2875.9500000000003</v>
      </c>
      <c r="G21" s="7">
        <f>Assumptions!$B$21</f>
        <v>3000</v>
      </c>
      <c r="H21" s="5">
        <f t="shared" si="1"/>
        <v>2875.9500000000003</v>
      </c>
      <c r="I21">
        <f>Tbl_RawData[[#This Row],[Unit_price]]*(1+Assumptions!$B$26)</f>
        <v>13.5</v>
      </c>
      <c r="J21" s="12">
        <f t="shared" si="2"/>
        <v>38825.325000000004</v>
      </c>
      <c r="K21" t="str">
        <f t="shared" si="3"/>
        <v>Q3</v>
      </c>
      <c r="L21" s="1">
        <f>EOMONTH(Tbl_Forecast[[#This Row],[Date]],0)</f>
        <v>45900</v>
      </c>
    </row>
    <row r="22" spans="1:12" x14ac:dyDescent="0.3">
      <c r="A22" s="1">
        <v>45857</v>
      </c>
      <c r="B22" t="s">
        <v>5</v>
      </c>
      <c r="C22">
        <v>2123</v>
      </c>
      <c r="D22" s="3" cm="1">
        <f t="array" ref="D22">_xlfn.SWITCH(Assumptions!$B$2,"Base",Assumptions!$B$9,"Optimistic",Assumptions!$B$10,"Pessimistic",Assumptions!$B$11)</f>
        <v>0.05</v>
      </c>
      <c r="E22">
        <f>_xlfn.XLOOKUP(K22,Assumptions!$A$14:$A$17,Assumptions!$B$14:$B$17,0,0,1)</f>
        <v>1.1000000000000001</v>
      </c>
      <c r="F22" s="5">
        <f t="shared" si="0"/>
        <v>2452.0650000000005</v>
      </c>
      <c r="G22" s="7">
        <f>Assumptions!$B$21</f>
        <v>3000</v>
      </c>
      <c r="H22" s="5">
        <f t="shared" si="1"/>
        <v>2452.0650000000005</v>
      </c>
      <c r="I22">
        <f>Tbl_RawData[[#This Row],[Unit_price]]*(1+Assumptions!$B$26)</f>
        <v>13.5</v>
      </c>
      <c r="J22" s="12">
        <f t="shared" si="2"/>
        <v>33102.87750000001</v>
      </c>
      <c r="K22" t="str">
        <f t="shared" si="3"/>
        <v>Q3</v>
      </c>
      <c r="L22" s="1">
        <f>EOMONTH(Tbl_Forecast[[#This Row],[Date]],0)</f>
        <v>45869</v>
      </c>
    </row>
    <row r="23" spans="1:12" x14ac:dyDescent="0.3">
      <c r="A23" s="1">
        <v>45550</v>
      </c>
      <c r="B23" t="s">
        <v>6</v>
      </c>
      <c r="C23">
        <v>521</v>
      </c>
      <c r="D23" s="3" cm="1">
        <f t="array" ref="D23">_xlfn.SWITCH(Assumptions!$B$2,"Base",Assumptions!$B$9,"Optimistic",Assumptions!$B$10,"Pessimistic",Assumptions!$B$11)</f>
        <v>0.05</v>
      </c>
      <c r="E23">
        <f>_xlfn.XLOOKUP(K23,Assumptions!$A$14:$A$17,Assumptions!$B$14:$B$17,0,0,1)</f>
        <v>1.1000000000000001</v>
      </c>
      <c r="F23" s="5">
        <f t="shared" si="0"/>
        <v>601.75500000000011</v>
      </c>
      <c r="G23" s="7">
        <f>Assumptions!$B$21</f>
        <v>3000</v>
      </c>
      <c r="H23" s="5">
        <f t="shared" si="1"/>
        <v>601.75500000000011</v>
      </c>
      <c r="I23">
        <f>Tbl_RawData[[#This Row],[Unit_price]]*(1+Assumptions!$B$26)</f>
        <v>12.5</v>
      </c>
      <c r="J23" s="12">
        <f t="shared" si="2"/>
        <v>7521.9375000000018</v>
      </c>
      <c r="K23" t="str">
        <f t="shared" si="3"/>
        <v>Q3</v>
      </c>
      <c r="L23" s="1">
        <f>EOMONTH(Tbl_Forecast[[#This Row],[Date]],0)</f>
        <v>45565</v>
      </c>
    </row>
    <row r="24" spans="1:12" x14ac:dyDescent="0.3">
      <c r="A24" s="1">
        <v>45942</v>
      </c>
      <c r="B24" t="s">
        <v>5</v>
      </c>
      <c r="C24">
        <v>270</v>
      </c>
      <c r="D24" s="3" cm="1">
        <f t="array" ref="D24">_xlfn.SWITCH(Assumptions!$B$2,"Base",Assumptions!$B$9,"Optimistic",Assumptions!$B$10,"Pessimistic",Assumptions!$B$11)</f>
        <v>0.05</v>
      </c>
      <c r="E24">
        <f>_xlfn.XLOOKUP(K24,Assumptions!$A$14:$A$17,Assumptions!$B$14:$B$17,0,0,1)</f>
        <v>1.1499999999999999</v>
      </c>
      <c r="F24" s="5">
        <f t="shared" si="0"/>
        <v>326.02499999999998</v>
      </c>
      <c r="G24" s="7">
        <f>Assumptions!$B$21</f>
        <v>3000</v>
      </c>
      <c r="H24" s="5">
        <f t="shared" si="1"/>
        <v>326.02499999999998</v>
      </c>
      <c r="I24">
        <f>Tbl_RawData[[#This Row],[Unit_price]]*(1+Assumptions!$B$26)</f>
        <v>13.5</v>
      </c>
      <c r="J24" s="12">
        <f t="shared" si="2"/>
        <v>4401.3374999999996</v>
      </c>
      <c r="K24" t="str">
        <f t="shared" si="3"/>
        <v>Q4</v>
      </c>
      <c r="L24" s="1">
        <f>EOMONTH(Tbl_Forecast[[#This Row],[Date]],0)</f>
        <v>45961</v>
      </c>
    </row>
    <row r="25" spans="1:12" x14ac:dyDescent="0.3">
      <c r="A25" s="1">
        <v>45546</v>
      </c>
      <c r="B25" t="s">
        <v>5</v>
      </c>
      <c r="C25">
        <v>2926</v>
      </c>
      <c r="D25" s="3" cm="1">
        <f t="array" ref="D25">_xlfn.SWITCH(Assumptions!$B$2,"Base",Assumptions!$B$9,"Optimistic",Assumptions!$B$10,"Pessimistic",Assumptions!$B$11)</f>
        <v>0.05</v>
      </c>
      <c r="E25">
        <f>_xlfn.XLOOKUP(K25,Assumptions!$A$14:$A$17,Assumptions!$B$14:$B$17,0,0,1)</f>
        <v>1.1000000000000001</v>
      </c>
      <c r="F25" s="5">
        <f t="shared" si="0"/>
        <v>3379.5300000000007</v>
      </c>
      <c r="G25" s="7">
        <f>Assumptions!$B$21</f>
        <v>3000</v>
      </c>
      <c r="H25" s="5">
        <f t="shared" si="1"/>
        <v>3000</v>
      </c>
      <c r="I25">
        <f>Tbl_RawData[[#This Row],[Unit_price]]*(1+Assumptions!$B$26)</f>
        <v>12.5</v>
      </c>
      <c r="J25" s="12">
        <f t="shared" si="2"/>
        <v>37500</v>
      </c>
      <c r="K25" t="str">
        <f t="shared" si="3"/>
        <v>Q3</v>
      </c>
      <c r="L25" s="1">
        <f>EOMONTH(Tbl_Forecast[[#This Row],[Date]],0)</f>
        <v>45565</v>
      </c>
    </row>
    <row r="26" spans="1:12" x14ac:dyDescent="0.3">
      <c r="A26" s="1">
        <v>45474</v>
      </c>
      <c r="B26" t="s">
        <v>6</v>
      </c>
      <c r="C26">
        <v>1155</v>
      </c>
      <c r="D26" s="3" cm="1">
        <f t="array" ref="D26">_xlfn.SWITCH(Assumptions!$B$2,"Base",Assumptions!$B$9,"Optimistic",Assumptions!$B$10,"Pessimistic",Assumptions!$B$11)</f>
        <v>0.05</v>
      </c>
      <c r="E26">
        <f>_xlfn.XLOOKUP(K26,Assumptions!$A$14:$A$17,Assumptions!$B$14:$B$17,0,0,1)</f>
        <v>1.1000000000000001</v>
      </c>
      <c r="F26" s="5">
        <f t="shared" si="0"/>
        <v>1334.0250000000001</v>
      </c>
      <c r="G26" s="7">
        <f>Assumptions!$B$21</f>
        <v>3000</v>
      </c>
      <c r="H26" s="5">
        <f t="shared" si="1"/>
        <v>1334.0250000000001</v>
      </c>
      <c r="I26">
        <f>Tbl_RawData[[#This Row],[Unit_price]]*(1+Assumptions!$B$26)</f>
        <v>12.5</v>
      </c>
      <c r="J26" s="12">
        <f t="shared" si="2"/>
        <v>16675.3125</v>
      </c>
      <c r="K26" t="str">
        <f t="shared" si="3"/>
        <v>Q3</v>
      </c>
      <c r="L26" s="1">
        <f>EOMONTH(Tbl_Forecast[[#This Row],[Date]],0)</f>
        <v>45504</v>
      </c>
    </row>
    <row r="27" spans="1:12" x14ac:dyDescent="0.3">
      <c r="A27" s="1">
        <v>45402</v>
      </c>
      <c r="B27" t="s">
        <v>6</v>
      </c>
      <c r="C27">
        <v>4951</v>
      </c>
      <c r="D27" s="3" cm="1">
        <f t="array" ref="D27">_xlfn.SWITCH(Assumptions!$B$2,"Base",Assumptions!$B$9,"Optimistic",Assumptions!$B$10,"Pessimistic",Assumptions!$B$11)</f>
        <v>0.05</v>
      </c>
      <c r="E27">
        <f>_xlfn.XLOOKUP(K27,Assumptions!$A$14:$A$17,Assumptions!$B$14:$B$17,0,0,1)</f>
        <v>1</v>
      </c>
      <c r="F27" s="5">
        <f t="shared" si="0"/>
        <v>5198.55</v>
      </c>
      <c r="G27" s="7">
        <f>Assumptions!$B$21</f>
        <v>3000</v>
      </c>
      <c r="H27" s="5">
        <f t="shared" si="1"/>
        <v>3000</v>
      </c>
      <c r="I27">
        <f>Tbl_RawData[[#This Row],[Unit_price]]*(1+Assumptions!$B$26)</f>
        <v>12</v>
      </c>
      <c r="J27" s="12">
        <f t="shared" si="2"/>
        <v>36000</v>
      </c>
      <c r="K27" t="str">
        <f t="shared" si="3"/>
        <v>Q2</v>
      </c>
      <c r="L27" s="1">
        <f>EOMONTH(Tbl_Forecast[[#This Row],[Date]],0)</f>
        <v>45412</v>
      </c>
    </row>
    <row r="28" spans="1:12" x14ac:dyDescent="0.3">
      <c r="A28" s="1">
        <v>45391</v>
      </c>
      <c r="B28" t="s">
        <v>4</v>
      </c>
      <c r="C28">
        <v>4561</v>
      </c>
      <c r="D28" s="3" cm="1">
        <f t="array" ref="D28">_xlfn.SWITCH(Assumptions!$B$2,"Base",Assumptions!$B$9,"Optimistic",Assumptions!$B$10,"Pessimistic",Assumptions!$B$11)</f>
        <v>0.05</v>
      </c>
      <c r="E28">
        <f>_xlfn.XLOOKUP(K28,Assumptions!$A$14:$A$17,Assumptions!$B$14:$B$17,0,0,1)</f>
        <v>1</v>
      </c>
      <c r="F28" s="5">
        <f t="shared" si="0"/>
        <v>4789.05</v>
      </c>
      <c r="G28" s="7">
        <f>Assumptions!$B$21</f>
        <v>3000</v>
      </c>
      <c r="H28" s="5">
        <f t="shared" si="1"/>
        <v>3000</v>
      </c>
      <c r="I28">
        <f>Tbl_RawData[[#This Row],[Unit_price]]*(1+Assumptions!$B$26)</f>
        <v>12</v>
      </c>
      <c r="J28" s="12">
        <f t="shared" si="2"/>
        <v>36000</v>
      </c>
      <c r="K28" t="str">
        <f t="shared" si="3"/>
        <v>Q2</v>
      </c>
      <c r="L28" s="1">
        <f>EOMONTH(Tbl_Forecast[[#This Row],[Date]],0)</f>
        <v>45412</v>
      </c>
    </row>
    <row r="29" spans="1:12" x14ac:dyDescent="0.3">
      <c r="A29" s="1">
        <v>45503</v>
      </c>
      <c r="B29" t="s">
        <v>4</v>
      </c>
      <c r="C29">
        <v>3298</v>
      </c>
      <c r="D29" s="3" cm="1">
        <f t="array" ref="D29">_xlfn.SWITCH(Assumptions!$B$2,"Base",Assumptions!$B$9,"Optimistic",Assumptions!$B$10,"Pessimistic",Assumptions!$B$11)</f>
        <v>0.05</v>
      </c>
      <c r="E29">
        <f>_xlfn.XLOOKUP(K29,Assumptions!$A$14:$A$17,Assumptions!$B$14:$B$17,0,0,1)</f>
        <v>1.1000000000000001</v>
      </c>
      <c r="F29" s="5">
        <f t="shared" si="0"/>
        <v>3809.1900000000005</v>
      </c>
      <c r="G29" s="7">
        <f>Assumptions!$B$21</f>
        <v>3000</v>
      </c>
      <c r="H29" s="5">
        <f t="shared" si="1"/>
        <v>3000</v>
      </c>
      <c r="I29">
        <f>Tbl_RawData[[#This Row],[Unit_price]]*(1+Assumptions!$B$26)</f>
        <v>12.5</v>
      </c>
      <c r="J29" s="12">
        <f t="shared" si="2"/>
        <v>37500</v>
      </c>
      <c r="K29" t="str">
        <f t="shared" si="3"/>
        <v>Q3</v>
      </c>
      <c r="L29" s="1">
        <f>EOMONTH(Tbl_Forecast[[#This Row],[Date]],0)</f>
        <v>45504</v>
      </c>
    </row>
    <row r="30" spans="1:12" x14ac:dyDescent="0.3">
      <c r="A30" s="1">
        <v>45480</v>
      </c>
      <c r="B30" t="s">
        <v>4</v>
      </c>
      <c r="C30">
        <v>4976</v>
      </c>
      <c r="D30" s="3" cm="1">
        <f t="array" ref="D30">_xlfn.SWITCH(Assumptions!$B$2,"Base",Assumptions!$B$9,"Optimistic",Assumptions!$B$10,"Pessimistic",Assumptions!$B$11)</f>
        <v>0.05</v>
      </c>
      <c r="E30">
        <f>_xlfn.XLOOKUP(K30,Assumptions!$A$14:$A$17,Assumptions!$B$14:$B$17,0,0,1)</f>
        <v>1.1000000000000001</v>
      </c>
      <c r="F30" s="5">
        <f t="shared" si="0"/>
        <v>5747.2800000000007</v>
      </c>
      <c r="G30" s="7">
        <f>Assumptions!$B$21</f>
        <v>3000</v>
      </c>
      <c r="H30" s="5">
        <f t="shared" si="1"/>
        <v>3000</v>
      </c>
      <c r="I30">
        <f>Tbl_RawData[[#This Row],[Unit_price]]*(1+Assumptions!$B$26)</f>
        <v>12.5</v>
      </c>
      <c r="J30" s="12">
        <f t="shared" si="2"/>
        <v>37500</v>
      </c>
      <c r="K30" t="str">
        <f t="shared" si="3"/>
        <v>Q3</v>
      </c>
      <c r="L30" s="1">
        <f>EOMONTH(Tbl_Forecast[[#This Row],[Date]],0)</f>
        <v>45504</v>
      </c>
    </row>
    <row r="31" spans="1:12" x14ac:dyDescent="0.3">
      <c r="A31" s="1">
        <v>45354</v>
      </c>
      <c r="B31" t="s">
        <v>5</v>
      </c>
      <c r="C31">
        <v>1858</v>
      </c>
      <c r="D31" s="3" cm="1">
        <f t="array" ref="D31">_xlfn.SWITCH(Assumptions!$B$2,"Base",Assumptions!$B$9,"Optimistic",Assumptions!$B$10,"Pessimistic",Assumptions!$B$11)</f>
        <v>0.05</v>
      </c>
      <c r="E31">
        <f>_xlfn.XLOOKUP(K31,Assumptions!$A$14:$A$17,Assumptions!$B$14:$B$17,0,0,1)</f>
        <v>0.95</v>
      </c>
      <c r="F31" s="5">
        <f t="shared" si="0"/>
        <v>1853.355</v>
      </c>
      <c r="G31" s="7">
        <f>Assumptions!$B$21</f>
        <v>3000</v>
      </c>
      <c r="H31" s="5">
        <f t="shared" si="1"/>
        <v>1853.355</v>
      </c>
      <c r="I31">
        <f>Tbl_RawData[[#This Row],[Unit_price]]*(1+Assumptions!$B$26)</f>
        <v>12</v>
      </c>
      <c r="J31" s="12">
        <f t="shared" si="2"/>
        <v>22240.260000000002</v>
      </c>
      <c r="K31" t="str">
        <f t="shared" si="3"/>
        <v>Q1</v>
      </c>
      <c r="L31" s="1">
        <f>EOMONTH(Tbl_Forecast[[#This Row],[Date]],0)</f>
        <v>45382</v>
      </c>
    </row>
    <row r="32" spans="1:12" x14ac:dyDescent="0.3">
      <c r="A32" s="1">
        <v>45358</v>
      </c>
      <c r="B32" t="s">
        <v>4</v>
      </c>
      <c r="C32">
        <v>3438</v>
      </c>
      <c r="D32" s="3" cm="1">
        <f t="array" ref="D32">_xlfn.SWITCH(Assumptions!$B$2,"Base",Assumptions!$B$9,"Optimistic",Assumptions!$B$10,"Pessimistic",Assumptions!$B$11)</f>
        <v>0.05</v>
      </c>
      <c r="E32">
        <f>_xlfn.XLOOKUP(K32,Assumptions!$A$14:$A$17,Assumptions!$B$14:$B$17,0,0,1)</f>
        <v>0.95</v>
      </c>
      <c r="F32" s="5">
        <f t="shared" si="0"/>
        <v>3429.4049999999997</v>
      </c>
      <c r="G32" s="7">
        <f>Assumptions!$B$21</f>
        <v>3000</v>
      </c>
      <c r="H32" s="5">
        <f t="shared" si="1"/>
        <v>3000</v>
      </c>
      <c r="I32">
        <f>Tbl_RawData[[#This Row],[Unit_price]]*(1+Assumptions!$B$26)</f>
        <v>12</v>
      </c>
      <c r="J32" s="12">
        <f t="shared" si="2"/>
        <v>36000</v>
      </c>
      <c r="K32" t="str">
        <f t="shared" si="3"/>
        <v>Q1</v>
      </c>
      <c r="L32" s="1">
        <f>EOMONTH(Tbl_Forecast[[#This Row],[Date]],0)</f>
        <v>45382</v>
      </c>
    </row>
    <row r="33" spans="1:12" x14ac:dyDescent="0.3">
      <c r="A33" s="1">
        <v>45368</v>
      </c>
      <c r="B33" t="s">
        <v>4</v>
      </c>
      <c r="C33">
        <v>4070</v>
      </c>
      <c r="D33" s="3" cm="1">
        <f t="array" ref="D33">_xlfn.SWITCH(Assumptions!$B$2,"Base",Assumptions!$B$9,"Optimistic",Assumptions!$B$10,"Pessimistic",Assumptions!$B$11)</f>
        <v>0.05</v>
      </c>
      <c r="E33">
        <f>_xlfn.XLOOKUP(K33,Assumptions!$A$14:$A$17,Assumptions!$B$14:$B$17,0,0,1)</f>
        <v>0.95</v>
      </c>
      <c r="F33" s="5">
        <f t="shared" si="0"/>
        <v>4059.8249999999998</v>
      </c>
      <c r="G33" s="7">
        <f>Assumptions!$B$21</f>
        <v>3000</v>
      </c>
      <c r="H33" s="5">
        <f t="shared" si="1"/>
        <v>3000</v>
      </c>
      <c r="I33">
        <f>Tbl_RawData[[#This Row],[Unit_price]]*(1+Assumptions!$B$26)</f>
        <v>12</v>
      </c>
      <c r="J33" s="12">
        <f t="shared" si="2"/>
        <v>36000</v>
      </c>
      <c r="K33" t="str">
        <f t="shared" si="3"/>
        <v>Q1</v>
      </c>
      <c r="L33" s="1">
        <f>EOMONTH(Tbl_Forecast[[#This Row],[Date]],0)</f>
        <v>45382</v>
      </c>
    </row>
    <row r="34" spans="1:12" x14ac:dyDescent="0.3">
      <c r="A34" s="1">
        <v>45597</v>
      </c>
      <c r="B34" t="s">
        <v>6</v>
      </c>
      <c r="C34">
        <v>3941</v>
      </c>
      <c r="D34" s="3" cm="1">
        <f t="array" ref="D34">_xlfn.SWITCH(Assumptions!$B$2,"Base",Assumptions!$B$9,"Optimistic",Assumptions!$B$10,"Pessimistic",Assumptions!$B$11)</f>
        <v>0.05</v>
      </c>
      <c r="E34">
        <f>_xlfn.XLOOKUP(K34,Assumptions!$A$14:$A$17,Assumptions!$B$14:$B$17,0,0,1)</f>
        <v>1.1499999999999999</v>
      </c>
      <c r="F34" s="5">
        <f t="shared" si="0"/>
        <v>4758.7574999999997</v>
      </c>
      <c r="G34" s="7">
        <f>Assumptions!$B$21</f>
        <v>3000</v>
      </c>
      <c r="H34" s="5">
        <f t="shared" si="1"/>
        <v>3000</v>
      </c>
      <c r="I34">
        <f>Tbl_RawData[[#This Row],[Unit_price]]*(1+Assumptions!$B$26)</f>
        <v>12.5</v>
      </c>
      <c r="J34" s="12">
        <f t="shared" si="2"/>
        <v>37500</v>
      </c>
      <c r="K34" t="str">
        <f t="shared" si="3"/>
        <v>Q4</v>
      </c>
      <c r="L34" s="1">
        <f>EOMONTH(Tbl_Forecast[[#This Row],[Date]],0)</f>
        <v>45626</v>
      </c>
    </row>
    <row r="35" spans="1:12" x14ac:dyDescent="0.3">
      <c r="A35" s="1">
        <v>45959</v>
      </c>
      <c r="B35" t="s">
        <v>6</v>
      </c>
      <c r="C35">
        <v>1607</v>
      </c>
      <c r="D35" s="3" cm="1">
        <f t="array" ref="D35">_xlfn.SWITCH(Assumptions!$B$2,"Base",Assumptions!$B$9,"Optimistic",Assumptions!$B$10,"Pessimistic",Assumptions!$B$11)</f>
        <v>0.05</v>
      </c>
      <c r="E35">
        <f>_xlfn.XLOOKUP(K35,Assumptions!$A$14:$A$17,Assumptions!$B$14:$B$17,0,0,1)</f>
        <v>1.1499999999999999</v>
      </c>
      <c r="F35" s="5">
        <f t="shared" si="0"/>
        <v>1940.4525000000001</v>
      </c>
      <c r="G35" s="7">
        <f>Assumptions!$B$21</f>
        <v>3000</v>
      </c>
      <c r="H35" s="5">
        <f t="shared" si="1"/>
        <v>1940.4525000000001</v>
      </c>
      <c r="I35">
        <f>Tbl_RawData[[#This Row],[Unit_price]]*(1+Assumptions!$B$26)</f>
        <v>13.5</v>
      </c>
      <c r="J35" s="12">
        <f t="shared" si="2"/>
        <v>26196.108750000003</v>
      </c>
      <c r="K35" t="str">
        <f t="shared" si="3"/>
        <v>Q4</v>
      </c>
      <c r="L35" s="1">
        <f>EOMONTH(Tbl_Forecast[[#This Row],[Date]],0)</f>
        <v>45961</v>
      </c>
    </row>
    <row r="36" spans="1:12" x14ac:dyDescent="0.3">
      <c r="A36" s="1">
        <v>45918</v>
      </c>
      <c r="B36" t="s">
        <v>4</v>
      </c>
      <c r="C36">
        <v>439</v>
      </c>
      <c r="D36" s="3" cm="1">
        <f t="array" ref="D36">_xlfn.SWITCH(Assumptions!$B$2,"Base",Assumptions!$B$9,"Optimistic",Assumptions!$B$10,"Pessimistic",Assumptions!$B$11)</f>
        <v>0.05</v>
      </c>
      <c r="E36">
        <f>_xlfn.XLOOKUP(K36,Assumptions!$A$14:$A$17,Assumptions!$B$14:$B$17,0,0,1)</f>
        <v>1.1000000000000001</v>
      </c>
      <c r="F36" s="5">
        <f t="shared" si="0"/>
        <v>507.04500000000007</v>
      </c>
      <c r="G36" s="7">
        <f>Assumptions!$B$21</f>
        <v>3000</v>
      </c>
      <c r="H36" s="5">
        <f t="shared" si="1"/>
        <v>507.04500000000007</v>
      </c>
      <c r="I36">
        <f>Tbl_RawData[[#This Row],[Unit_price]]*(1+Assumptions!$B$26)</f>
        <v>13.5</v>
      </c>
      <c r="J36" s="12">
        <f t="shared" si="2"/>
        <v>6845.107500000001</v>
      </c>
      <c r="K36" t="str">
        <f t="shared" si="3"/>
        <v>Q3</v>
      </c>
      <c r="L36" s="1">
        <f>EOMONTH(Tbl_Forecast[[#This Row],[Date]],0)</f>
        <v>45930</v>
      </c>
    </row>
    <row r="37" spans="1:12" x14ac:dyDescent="0.3">
      <c r="A37" s="1">
        <v>45472</v>
      </c>
      <c r="B37" t="s">
        <v>5</v>
      </c>
      <c r="C37">
        <v>2092</v>
      </c>
      <c r="D37" s="3" cm="1">
        <f t="array" ref="D37">_xlfn.SWITCH(Assumptions!$B$2,"Base",Assumptions!$B$9,"Optimistic",Assumptions!$B$10,"Pessimistic",Assumptions!$B$11)</f>
        <v>0.05</v>
      </c>
      <c r="E37">
        <f>_xlfn.XLOOKUP(K37,Assumptions!$A$14:$A$17,Assumptions!$B$14:$B$17,0,0,1)</f>
        <v>1</v>
      </c>
      <c r="F37" s="5">
        <f t="shared" si="0"/>
        <v>2196.6</v>
      </c>
      <c r="G37" s="7">
        <f>Assumptions!$B$21</f>
        <v>3000</v>
      </c>
      <c r="H37" s="5">
        <f t="shared" si="1"/>
        <v>2196.6</v>
      </c>
      <c r="I37">
        <f>Tbl_RawData[[#This Row],[Unit_price]]*(1+Assumptions!$B$26)</f>
        <v>12</v>
      </c>
      <c r="J37" s="12">
        <f t="shared" si="2"/>
        <v>26359.199999999997</v>
      </c>
      <c r="K37" t="str">
        <f t="shared" si="3"/>
        <v>Q2</v>
      </c>
      <c r="L37" s="1">
        <f>EOMONTH(Tbl_Forecast[[#This Row],[Date]],0)</f>
        <v>45473</v>
      </c>
    </row>
    <row r="38" spans="1:12" x14ac:dyDescent="0.3">
      <c r="A38" s="1">
        <v>45975</v>
      </c>
      <c r="B38" t="s">
        <v>4</v>
      </c>
      <c r="C38">
        <v>2822</v>
      </c>
      <c r="D38" s="3" cm="1">
        <f t="array" ref="D38">_xlfn.SWITCH(Assumptions!$B$2,"Base",Assumptions!$B$9,"Optimistic",Assumptions!$B$10,"Pessimistic",Assumptions!$B$11)</f>
        <v>0.05</v>
      </c>
      <c r="E38">
        <f>_xlfn.XLOOKUP(K38,Assumptions!$A$14:$A$17,Assumptions!$B$14:$B$17,0,0,1)</f>
        <v>1.1499999999999999</v>
      </c>
      <c r="F38" s="5">
        <f t="shared" si="0"/>
        <v>3407.5649999999996</v>
      </c>
      <c r="G38" s="7">
        <f>Assumptions!$B$21</f>
        <v>3000</v>
      </c>
      <c r="H38" s="5">
        <f t="shared" si="1"/>
        <v>3000</v>
      </c>
      <c r="I38">
        <f>Tbl_RawData[[#This Row],[Unit_price]]*(1+Assumptions!$B$26)</f>
        <v>13.5</v>
      </c>
      <c r="J38" s="12">
        <f t="shared" si="2"/>
        <v>40500</v>
      </c>
      <c r="K38" t="str">
        <f t="shared" si="3"/>
        <v>Q4</v>
      </c>
      <c r="L38" s="1">
        <f>EOMONTH(Tbl_Forecast[[#This Row],[Date]],0)</f>
        <v>45991</v>
      </c>
    </row>
    <row r="39" spans="1:12" x14ac:dyDescent="0.3">
      <c r="A39" s="1">
        <v>45886</v>
      </c>
      <c r="B39" t="s">
        <v>6</v>
      </c>
      <c r="C39">
        <v>4636</v>
      </c>
      <c r="D39" s="3" cm="1">
        <f t="array" ref="D39">_xlfn.SWITCH(Assumptions!$B$2,"Base",Assumptions!$B$9,"Optimistic",Assumptions!$B$10,"Pessimistic",Assumptions!$B$11)</f>
        <v>0.05</v>
      </c>
      <c r="E39">
        <f>_xlfn.XLOOKUP(K39,Assumptions!$A$14:$A$17,Assumptions!$B$14:$B$17,0,0,1)</f>
        <v>1.1000000000000001</v>
      </c>
      <c r="F39" s="5">
        <f t="shared" si="0"/>
        <v>5354.5800000000008</v>
      </c>
      <c r="G39" s="7">
        <f>Assumptions!$B$21</f>
        <v>3000</v>
      </c>
      <c r="H39" s="5">
        <f t="shared" si="1"/>
        <v>3000</v>
      </c>
      <c r="I39">
        <f>Tbl_RawData[[#This Row],[Unit_price]]*(1+Assumptions!$B$26)</f>
        <v>13.5</v>
      </c>
      <c r="J39" s="12">
        <f t="shared" si="2"/>
        <v>40500</v>
      </c>
      <c r="K39" t="str">
        <f t="shared" si="3"/>
        <v>Q3</v>
      </c>
      <c r="L39" s="1">
        <f>EOMONTH(Tbl_Forecast[[#This Row],[Date]],0)</f>
        <v>45900</v>
      </c>
    </row>
    <row r="40" spans="1:12" x14ac:dyDescent="0.3">
      <c r="A40" s="1">
        <v>45917</v>
      </c>
      <c r="B40" t="s">
        <v>5</v>
      </c>
      <c r="C40">
        <v>3902</v>
      </c>
      <c r="D40" s="3" cm="1">
        <f t="array" ref="D40">_xlfn.SWITCH(Assumptions!$B$2,"Base",Assumptions!$B$9,"Optimistic",Assumptions!$B$10,"Pessimistic",Assumptions!$B$11)</f>
        <v>0.05</v>
      </c>
      <c r="E40">
        <f>_xlfn.XLOOKUP(K40,Assumptions!$A$14:$A$17,Assumptions!$B$14:$B$17,0,0,1)</f>
        <v>1.1000000000000001</v>
      </c>
      <c r="F40" s="5">
        <f t="shared" si="0"/>
        <v>4506.8100000000004</v>
      </c>
      <c r="G40" s="7">
        <f>Assumptions!$B$21</f>
        <v>3000</v>
      </c>
      <c r="H40" s="5">
        <f t="shared" si="1"/>
        <v>3000</v>
      </c>
      <c r="I40">
        <f>Tbl_RawData[[#This Row],[Unit_price]]*(1+Assumptions!$B$26)</f>
        <v>13.5</v>
      </c>
      <c r="J40" s="12">
        <f t="shared" si="2"/>
        <v>40500</v>
      </c>
      <c r="K40" t="str">
        <f t="shared" si="3"/>
        <v>Q3</v>
      </c>
      <c r="L40" s="1">
        <f>EOMONTH(Tbl_Forecast[[#This Row],[Date]],0)</f>
        <v>45930</v>
      </c>
    </row>
    <row r="41" spans="1:12" x14ac:dyDescent="0.3">
      <c r="A41" s="1">
        <v>45933</v>
      </c>
      <c r="B41" t="s">
        <v>4</v>
      </c>
      <c r="C41">
        <v>2594</v>
      </c>
      <c r="D41" s="3" cm="1">
        <f t="array" ref="D41">_xlfn.SWITCH(Assumptions!$B$2,"Base",Assumptions!$B$9,"Optimistic",Assumptions!$B$10,"Pessimistic",Assumptions!$B$11)</f>
        <v>0.05</v>
      </c>
      <c r="E41">
        <f>_xlfn.XLOOKUP(K41,Assumptions!$A$14:$A$17,Assumptions!$B$14:$B$17,0,0,1)</f>
        <v>1.1499999999999999</v>
      </c>
      <c r="F41" s="5">
        <f t="shared" si="0"/>
        <v>3132.2550000000001</v>
      </c>
      <c r="G41" s="7">
        <f>Assumptions!$B$21</f>
        <v>3000</v>
      </c>
      <c r="H41" s="5">
        <f t="shared" si="1"/>
        <v>3000</v>
      </c>
      <c r="I41">
        <f>Tbl_RawData[[#This Row],[Unit_price]]*(1+Assumptions!$B$26)</f>
        <v>13.5</v>
      </c>
      <c r="J41" s="12">
        <f t="shared" si="2"/>
        <v>40500</v>
      </c>
      <c r="K41" t="str">
        <f t="shared" si="3"/>
        <v>Q4</v>
      </c>
      <c r="L41" s="1">
        <f>EOMONTH(Tbl_Forecast[[#This Row],[Date]],0)</f>
        <v>45961</v>
      </c>
    </row>
    <row r="42" spans="1:12" x14ac:dyDescent="0.3">
      <c r="A42" s="1">
        <v>45594</v>
      </c>
      <c r="B42" t="s">
        <v>4</v>
      </c>
      <c r="C42">
        <v>2506</v>
      </c>
      <c r="D42" s="3" cm="1">
        <f t="array" ref="D42">_xlfn.SWITCH(Assumptions!$B$2,"Base",Assumptions!$B$9,"Optimistic",Assumptions!$B$10,"Pessimistic",Assumptions!$B$11)</f>
        <v>0.05</v>
      </c>
      <c r="E42">
        <f>_xlfn.XLOOKUP(K42,Assumptions!$A$14:$A$17,Assumptions!$B$14:$B$17,0,0,1)</f>
        <v>1.1499999999999999</v>
      </c>
      <c r="F42" s="5">
        <f t="shared" si="0"/>
        <v>3025.9949999999999</v>
      </c>
      <c r="G42" s="7">
        <f>Assumptions!$B$21</f>
        <v>3000</v>
      </c>
      <c r="H42" s="5">
        <f t="shared" si="1"/>
        <v>3000</v>
      </c>
      <c r="I42">
        <f>Tbl_RawData[[#This Row],[Unit_price]]*(1+Assumptions!$B$26)</f>
        <v>12.5</v>
      </c>
      <c r="J42" s="12">
        <f t="shared" si="2"/>
        <v>37500</v>
      </c>
      <c r="K42" t="str">
        <f t="shared" si="3"/>
        <v>Q4</v>
      </c>
      <c r="L42" s="1">
        <f>EOMONTH(Tbl_Forecast[[#This Row],[Date]],0)</f>
        <v>45596</v>
      </c>
    </row>
    <row r="43" spans="1:12" x14ac:dyDescent="0.3">
      <c r="A43" s="1">
        <v>45768</v>
      </c>
      <c r="B43" t="s">
        <v>5</v>
      </c>
      <c r="C43">
        <v>1449</v>
      </c>
      <c r="D43" s="3" cm="1">
        <f t="array" ref="D43">_xlfn.SWITCH(Assumptions!$B$2,"Base",Assumptions!$B$9,"Optimistic",Assumptions!$B$10,"Pessimistic",Assumptions!$B$11)</f>
        <v>0.05</v>
      </c>
      <c r="E43">
        <f>_xlfn.XLOOKUP(K43,Assumptions!$A$14:$A$17,Assumptions!$B$14:$B$17,0,0,1)</f>
        <v>1</v>
      </c>
      <c r="F43" s="5">
        <f t="shared" si="0"/>
        <v>1521.45</v>
      </c>
      <c r="G43" s="7">
        <f>Assumptions!$B$21</f>
        <v>3000</v>
      </c>
      <c r="H43" s="5">
        <f t="shared" si="1"/>
        <v>1521.45</v>
      </c>
      <c r="I43">
        <f>Tbl_RawData[[#This Row],[Unit_price]]*(1+Assumptions!$B$26)</f>
        <v>13</v>
      </c>
      <c r="J43" s="12">
        <f t="shared" si="2"/>
        <v>19778.850000000002</v>
      </c>
      <c r="K43" t="str">
        <f t="shared" si="3"/>
        <v>Q2</v>
      </c>
      <c r="L43" s="1">
        <f>EOMONTH(Tbl_Forecast[[#This Row],[Date]],0)</f>
        <v>45777</v>
      </c>
    </row>
    <row r="44" spans="1:12" x14ac:dyDescent="0.3">
      <c r="A44" s="1">
        <v>45908</v>
      </c>
      <c r="B44" t="s">
        <v>6</v>
      </c>
      <c r="C44">
        <v>1002</v>
      </c>
      <c r="D44" s="3" cm="1">
        <f t="array" ref="D44">_xlfn.SWITCH(Assumptions!$B$2,"Base",Assumptions!$B$9,"Optimistic",Assumptions!$B$10,"Pessimistic",Assumptions!$B$11)</f>
        <v>0.05</v>
      </c>
      <c r="E44">
        <f>_xlfn.XLOOKUP(K44,Assumptions!$A$14:$A$17,Assumptions!$B$14:$B$17,0,0,1)</f>
        <v>1.1000000000000001</v>
      </c>
      <c r="F44" s="5">
        <f t="shared" si="0"/>
        <v>1157.3100000000002</v>
      </c>
      <c r="G44" s="7">
        <f>Assumptions!$B$21</f>
        <v>3000</v>
      </c>
      <c r="H44" s="5">
        <f t="shared" si="1"/>
        <v>1157.3100000000002</v>
      </c>
      <c r="I44">
        <f>Tbl_RawData[[#This Row],[Unit_price]]*(1+Assumptions!$B$26)</f>
        <v>13.5</v>
      </c>
      <c r="J44" s="12">
        <f t="shared" si="2"/>
        <v>15623.685000000003</v>
      </c>
      <c r="K44" t="str">
        <f t="shared" si="3"/>
        <v>Q3</v>
      </c>
      <c r="L44" s="1">
        <f>EOMONTH(Tbl_Forecast[[#This Row],[Date]],0)</f>
        <v>45930</v>
      </c>
    </row>
    <row r="45" spans="1:12" x14ac:dyDescent="0.3">
      <c r="A45" s="1">
        <v>45682</v>
      </c>
      <c r="B45" t="s">
        <v>4</v>
      </c>
      <c r="C45">
        <v>4885</v>
      </c>
      <c r="D45" s="3" cm="1">
        <f t="array" ref="D45">_xlfn.SWITCH(Assumptions!$B$2,"Base",Assumptions!$B$9,"Optimistic",Assumptions!$B$10,"Pessimistic",Assumptions!$B$11)</f>
        <v>0.05</v>
      </c>
      <c r="E45">
        <f>_xlfn.XLOOKUP(K45,Assumptions!$A$14:$A$17,Assumptions!$B$14:$B$17,0,0,1)</f>
        <v>0.95</v>
      </c>
      <c r="F45" s="5">
        <f t="shared" si="0"/>
        <v>4872.7874999999995</v>
      </c>
      <c r="G45" s="7">
        <f>Assumptions!$B$21</f>
        <v>3000</v>
      </c>
      <c r="H45" s="5">
        <f t="shared" si="1"/>
        <v>3000</v>
      </c>
      <c r="I45">
        <f>Tbl_RawData[[#This Row],[Unit_price]]*(1+Assumptions!$B$26)</f>
        <v>13</v>
      </c>
      <c r="J45" s="12">
        <f t="shared" si="2"/>
        <v>39000</v>
      </c>
      <c r="K45" t="str">
        <f t="shared" si="3"/>
        <v>Q1</v>
      </c>
      <c r="L45" s="1">
        <f>EOMONTH(Tbl_Forecast[[#This Row],[Date]],0)</f>
        <v>45688</v>
      </c>
    </row>
    <row r="46" spans="1:12" x14ac:dyDescent="0.3">
      <c r="A46" s="1">
        <v>45405</v>
      </c>
      <c r="B46" t="s">
        <v>6</v>
      </c>
      <c r="C46">
        <v>1015</v>
      </c>
      <c r="D46" s="3" cm="1">
        <f t="array" ref="D46">_xlfn.SWITCH(Assumptions!$B$2,"Base",Assumptions!$B$9,"Optimistic",Assumptions!$B$10,"Pessimistic",Assumptions!$B$11)</f>
        <v>0.05</v>
      </c>
      <c r="E46">
        <f>_xlfn.XLOOKUP(K46,Assumptions!$A$14:$A$17,Assumptions!$B$14:$B$17,0,0,1)</f>
        <v>1</v>
      </c>
      <c r="F46" s="5">
        <f t="shared" si="0"/>
        <v>1065.75</v>
      </c>
      <c r="G46" s="7">
        <f>Assumptions!$B$21</f>
        <v>3000</v>
      </c>
      <c r="H46" s="5">
        <f t="shared" si="1"/>
        <v>1065.75</v>
      </c>
      <c r="I46">
        <f>Tbl_RawData[[#This Row],[Unit_price]]*(1+Assumptions!$B$26)</f>
        <v>12</v>
      </c>
      <c r="J46" s="12">
        <f t="shared" si="2"/>
        <v>12789</v>
      </c>
      <c r="K46" t="str">
        <f t="shared" si="3"/>
        <v>Q2</v>
      </c>
      <c r="L46" s="1">
        <f>EOMONTH(Tbl_Forecast[[#This Row],[Date]],0)</f>
        <v>45412</v>
      </c>
    </row>
    <row r="47" spans="1:12" x14ac:dyDescent="0.3">
      <c r="A47" s="1">
        <v>45748</v>
      </c>
      <c r="B47" t="s">
        <v>5</v>
      </c>
      <c r="C47">
        <v>2181</v>
      </c>
      <c r="D47" s="3" cm="1">
        <f t="array" ref="D47">_xlfn.SWITCH(Assumptions!$B$2,"Base",Assumptions!$B$9,"Optimistic",Assumptions!$B$10,"Pessimistic",Assumptions!$B$11)</f>
        <v>0.05</v>
      </c>
      <c r="E47">
        <f>_xlfn.XLOOKUP(K47,Assumptions!$A$14:$A$17,Assumptions!$B$14:$B$17,0,0,1)</f>
        <v>1</v>
      </c>
      <c r="F47" s="5">
        <f t="shared" si="0"/>
        <v>2290.0500000000002</v>
      </c>
      <c r="G47" s="7">
        <f>Assumptions!$B$21</f>
        <v>3000</v>
      </c>
      <c r="H47" s="5">
        <f t="shared" si="1"/>
        <v>2290.0500000000002</v>
      </c>
      <c r="I47">
        <f>Tbl_RawData[[#This Row],[Unit_price]]*(1+Assumptions!$B$26)</f>
        <v>13</v>
      </c>
      <c r="J47" s="12">
        <f t="shared" si="2"/>
        <v>29770.65</v>
      </c>
      <c r="K47" t="str">
        <f t="shared" si="3"/>
        <v>Q2</v>
      </c>
      <c r="L47" s="1">
        <f>EOMONTH(Tbl_Forecast[[#This Row],[Date]],0)</f>
        <v>45777</v>
      </c>
    </row>
    <row r="48" spans="1:12" x14ac:dyDescent="0.3">
      <c r="A48" s="1">
        <v>45801</v>
      </c>
      <c r="B48" t="s">
        <v>4</v>
      </c>
      <c r="C48">
        <v>3211</v>
      </c>
      <c r="D48" s="3" cm="1">
        <f t="array" ref="D48">_xlfn.SWITCH(Assumptions!$B$2,"Base",Assumptions!$B$9,"Optimistic",Assumptions!$B$10,"Pessimistic",Assumptions!$B$11)</f>
        <v>0.05</v>
      </c>
      <c r="E48">
        <f>_xlfn.XLOOKUP(K48,Assumptions!$A$14:$A$17,Assumptions!$B$14:$B$17,0,0,1)</f>
        <v>1</v>
      </c>
      <c r="F48" s="5">
        <f t="shared" si="0"/>
        <v>3371.55</v>
      </c>
      <c r="G48" s="7">
        <f>Assumptions!$B$21</f>
        <v>3000</v>
      </c>
      <c r="H48" s="5">
        <f t="shared" si="1"/>
        <v>3000</v>
      </c>
      <c r="I48">
        <f>Tbl_RawData[[#This Row],[Unit_price]]*(1+Assumptions!$B$26)</f>
        <v>13</v>
      </c>
      <c r="J48" s="12">
        <f t="shared" si="2"/>
        <v>39000</v>
      </c>
      <c r="K48" t="str">
        <f t="shared" si="3"/>
        <v>Q2</v>
      </c>
      <c r="L48" s="1">
        <f>EOMONTH(Tbl_Forecast[[#This Row],[Date]],0)</f>
        <v>45808</v>
      </c>
    </row>
    <row r="49" spans="1:12" x14ac:dyDescent="0.3">
      <c r="A49" s="1">
        <v>45636</v>
      </c>
      <c r="B49" t="s">
        <v>4</v>
      </c>
      <c r="C49">
        <v>2186</v>
      </c>
      <c r="D49" s="3" cm="1">
        <f t="array" ref="D49">_xlfn.SWITCH(Assumptions!$B$2,"Base",Assumptions!$B$9,"Optimistic",Assumptions!$B$10,"Pessimistic",Assumptions!$B$11)</f>
        <v>0.05</v>
      </c>
      <c r="E49">
        <f>_xlfn.XLOOKUP(K49,Assumptions!$A$14:$A$17,Assumptions!$B$14:$B$17,0,0,1)</f>
        <v>1.1499999999999999</v>
      </c>
      <c r="F49" s="5">
        <f t="shared" si="0"/>
        <v>2639.5949999999998</v>
      </c>
      <c r="G49" s="7">
        <f>Assumptions!$B$21</f>
        <v>3000</v>
      </c>
      <c r="H49" s="5">
        <f t="shared" si="1"/>
        <v>2639.5949999999998</v>
      </c>
      <c r="I49">
        <f>Tbl_RawData[[#This Row],[Unit_price]]*(1+Assumptions!$B$26)</f>
        <v>12.5</v>
      </c>
      <c r="J49" s="12">
        <f t="shared" si="2"/>
        <v>32994.9375</v>
      </c>
      <c r="K49" t="str">
        <f t="shared" si="3"/>
        <v>Q4</v>
      </c>
      <c r="L49" s="1">
        <f>EOMONTH(Tbl_Forecast[[#This Row],[Date]],0)</f>
        <v>45657</v>
      </c>
    </row>
    <row r="50" spans="1:12" x14ac:dyDescent="0.3">
      <c r="A50" s="1">
        <v>45492</v>
      </c>
      <c r="B50" t="s">
        <v>4</v>
      </c>
      <c r="C50">
        <v>3232</v>
      </c>
      <c r="D50" s="3" cm="1">
        <f t="array" ref="D50">_xlfn.SWITCH(Assumptions!$B$2,"Base",Assumptions!$B$9,"Optimistic",Assumptions!$B$10,"Pessimistic",Assumptions!$B$11)</f>
        <v>0.05</v>
      </c>
      <c r="E50">
        <f>_xlfn.XLOOKUP(K50,Assumptions!$A$14:$A$17,Assumptions!$B$14:$B$17,0,0,1)</f>
        <v>1.1000000000000001</v>
      </c>
      <c r="F50" s="5">
        <f t="shared" si="0"/>
        <v>3732.9600000000005</v>
      </c>
      <c r="G50" s="7">
        <f>Assumptions!$B$21</f>
        <v>3000</v>
      </c>
      <c r="H50" s="5">
        <f t="shared" si="1"/>
        <v>3000</v>
      </c>
      <c r="I50">
        <f>Tbl_RawData[[#This Row],[Unit_price]]*(1+Assumptions!$B$26)</f>
        <v>12.5</v>
      </c>
      <c r="J50" s="12">
        <f t="shared" si="2"/>
        <v>37500</v>
      </c>
      <c r="K50" t="str">
        <f t="shared" si="3"/>
        <v>Q3</v>
      </c>
      <c r="L50" s="1">
        <f>EOMONTH(Tbl_Forecast[[#This Row],[Date]],0)</f>
        <v>45504</v>
      </c>
    </row>
    <row r="51" spans="1:12" x14ac:dyDescent="0.3">
      <c r="A51" s="1">
        <v>45842</v>
      </c>
      <c r="B51" t="s">
        <v>6</v>
      </c>
      <c r="C51">
        <v>1676</v>
      </c>
      <c r="D51" s="3" cm="1">
        <f t="array" ref="D51">_xlfn.SWITCH(Assumptions!$B$2,"Base",Assumptions!$B$9,"Optimistic",Assumptions!$B$10,"Pessimistic",Assumptions!$B$11)</f>
        <v>0.05</v>
      </c>
      <c r="E51">
        <f>_xlfn.XLOOKUP(K51,Assumptions!$A$14:$A$17,Assumptions!$B$14:$B$17,0,0,1)</f>
        <v>1.1000000000000001</v>
      </c>
      <c r="F51" s="5">
        <f t="shared" si="0"/>
        <v>1935.7800000000004</v>
      </c>
      <c r="G51" s="7">
        <f>Assumptions!$B$21</f>
        <v>3000</v>
      </c>
      <c r="H51" s="5">
        <f t="shared" si="1"/>
        <v>1935.7800000000004</v>
      </c>
      <c r="I51">
        <f>Tbl_RawData[[#This Row],[Unit_price]]*(1+Assumptions!$B$26)</f>
        <v>13.5</v>
      </c>
      <c r="J51" s="12">
        <f t="shared" si="2"/>
        <v>26133.030000000006</v>
      </c>
      <c r="K51" t="str">
        <f t="shared" si="3"/>
        <v>Q3</v>
      </c>
      <c r="L51" s="1">
        <f>EOMONTH(Tbl_Forecast[[#This Row],[Date]],0)</f>
        <v>45869</v>
      </c>
    </row>
    <row r="52" spans="1:12" x14ac:dyDescent="0.3">
      <c r="A52" s="1">
        <v>45976</v>
      </c>
      <c r="B52" t="s">
        <v>4</v>
      </c>
      <c r="C52">
        <v>281</v>
      </c>
      <c r="D52" s="3" cm="1">
        <f t="array" ref="D52">_xlfn.SWITCH(Assumptions!$B$2,"Base",Assumptions!$B$9,"Optimistic",Assumptions!$B$10,"Pessimistic",Assumptions!$B$11)</f>
        <v>0.05</v>
      </c>
      <c r="E52">
        <f>_xlfn.XLOOKUP(K52,Assumptions!$A$14:$A$17,Assumptions!$B$14:$B$17,0,0,1)</f>
        <v>1.1499999999999999</v>
      </c>
      <c r="F52" s="5">
        <f t="shared" si="0"/>
        <v>339.3075</v>
      </c>
      <c r="G52" s="7">
        <f>Assumptions!$B$21</f>
        <v>3000</v>
      </c>
      <c r="H52" s="5">
        <f t="shared" si="1"/>
        <v>339.3075</v>
      </c>
      <c r="I52">
        <f>Tbl_RawData[[#This Row],[Unit_price]]*(1+Assumptions!$B$26)</f>
        <v>13.5</v>
      </c>
      <c r="J52" s="12">
        <f t="shared" si="2"/>
        <v>4580.6512499999999</v>
      </c>
      <c r="K52" t="str">
        <f t="shared" si="3"/>
        <v>Q4</v>
      </c>
      <c r="L52" s="1">
        <f>EOMONTH(Tbl_Forecast[[#This Row],[Date]],0)</f>
        <v>45991</v>
      </c>
    </row>
    <row r="53" spans="1:12" x14ac:dyDescent="0.3">
      <c r="A53" s="1">
        <v>45965</v>
      </c>
      <c r="B53" t="s">
        <v>6</v>
      </c>
      <c r="C53">
        <v>2475</v>
      </c>
      <c r="D53" s="3" cm="1">
        <f t="array" ref="D53">_xlfn.SWITCH(Assumptions!$B$2,"Base",Assumptions!$B$9,"Optimistic",Assumptions!$B$10,"Pessimistic",Assumptions!$B$11)</f>
        <v>0.05</v>
      </c>
      <c r="E53">
        <f>_xlfn.XLOOKUP(K53,Assumptions!$A$14:$A$17,Assumptions!$B$14:$B$17,0,0,1)</f>
        <v>1.1499999999999999</v>
      </c>
      <c r="F53" s="5">
        <f t="shared" si="0"/>
        <v>2988.5624999999995</v>
      </c>
      <c r="G53" s="7">
        <f>Assumptions!$B$21</f>
        <v>3000</v>
      </c>
      <c r="H53" s="5">
        <f t="shared" si="1"/>
        <v>2988.5624999999995</v>
      </c>
      <c r="I53">
        <f>Tbl_RawData[[#This Row],[Unit_price]]*(1+Assumptions!$B$26)</f>
        <v>13.5</v>
      </c>
      <c r="J53" s="12">
        <f t="shared" si="2"/>
        <v>40345.593749999993</v>
      </c>
      <c r="K53" t="str">
        <f t="shared" si="3"/>
        <v>Q4</v>
      </c>
      <c r="L53" s="1">
        <f>EOMONTH(Tbl_Forecast[[#This Row],[Date]],0)</f>
        <v>45991</v>
      </c>
    </row>
    <row r="54" spans="1:12" x14ac:dyDescent="0.3">
      <c r="A54" s="1">
        <v>45624</v>
      </c>
      <c r="B54" t="s">
        <v>6</v>
      </c>
      <c r="C54">
        <v>4874</v>
      </c>
      <c r="D54" s="3" cm="1">
        <f t="array" ref="D54">_xlfn.SWITCH(Assumptions!$B$2,"Base",Assumptions!$B$9,"Optimistic",Assumptions!$B$10,"Pessimistic",Assumptions!$B$11)</f>
        <v>0.05</v>
      </c>
      <c r="E54">
        <f>_xlfn.XLOOKUP(K54,Assumptions!$A$14:$A$17,Assumptions!$B$14:$B$17,0,0,1)</f>
        <v>1.1499999999999999</v>
      </c>
      <c r="F54" s="5">
        <f t="shared" si="0"/>
        <v>5885.3549999999996</v>
      </c>
      <c r="G54" s="7">
        <f>Assumptions!$B$21</f>
        <v>3000</v>
      </c>
      <c r="H54" s="5">
        <f t="shared" si="1"/>
        <v>3000</v>
      </c>
      <c r="I54">
        <f>Tbl_RawData[[#This Row],[Unit_price]]*(1+Assumptions!$B$26)</f>
        <v>12.5</v>
      </c>
      <c r="J54" s="12">
        <f t="shared" si="2"/>
        <v>37500</v>
      </c>
      <c r="K54" t="str">
        <f t="shared" si="3"/>
        <v>Q4</v>
      </c>
      <c r="L54" s="1">
        <f>EOMONTH(Tbl_Forecast[[#This Row],[Date]],0)</f>
        <v>45626</v>
      </c>
    </row>
    <row r="55" spans="1:12" x14ac:dyDescent="0.3">
      <c r="A55" s="1">
        <v>45755</v>
      </c>
      <c r="B55" t="s">
        <v>6</v>
      </c>
      <c r="C55">
        <v>2557</v>
      </c>
      <c r="D55" s="3" cm="1">
        <f t="array" ref="D55">_xlfn.SWITCH(Assumptions!$B$2,"Base",Assumptions!$B$9,"Optimistic",Assumptions!$B$10,"Pessimistic",Assumptions!$B$11)</f>
        <v>0.05</v>
      </c>
      <c r="E55">
        <f>_xlfn.XLOOKUP(K55,Assumptions!$A$14:$A$17,Assumptions!$B$14:$B$17,0,0,1)</f>
        <v>1</v>
      </c>
      <c r="F55" s="5">
        <f t="shared" si="0"/>
        <v>2684.85</v>
      </c>
      <c r="G55" s="7">
        <f>Assumptions!$B$21</f>
        <v>3000</v>
      </c>
      <c r="H55" s="5">
        <f t="shared" si="1"/>
        <v>2684.85</v>
      </c>
      <c r="I55">
        <f>Tbl_RawData[[#This Row],[Unit_price]]*(1+Assumptions!$B$26)</f>
        <v>13</v>
      </c>
      <c r="J55" s="12">
        <f t="shared" si="2"/>
        <v>34903.049999999996</v>
      </c>
      <c r="K55" t="str">
        <f t="shared" si="3"/>
        <v>Q2</v>
      </c>
      <c r="L55" s="1">
        <f>EOMONTH(Tbl_Forecast[[#This Row],[Date]],0)</f>
        <v>45777</v>
      </c>
    </row>
    <row r="56" spans="1:12" x14ac:dyDescent="0.3">
      <c r="A56" s="1">
        <v>45526</v>
      </c>
      <c r="B56" t="s">
        <v>6</v>
      </c>
      <c r="C56">
        <v>2911</v>
      </c>
      <c r="D56" s="3" cm="1">
        <f t="array" ref="D56">_xlfn.SWITCH(Assumptions!$B$2,"Base",Assumptions!$B$9,"Optimistic",Assumptions!$B$10,"Pessimistic",Assumptions!$B$11)</f>
        <v>0.05</v>
      </c>
      <c r="E56">
        <f>_xlfn.XLOOKUP(K56,Assumptions!$A$14:$A$17,Assumptions!$B$14:$B$17,0,0,1)</f>
        <v>1.1000000000000001</v>
      </c>
      <c r="F56" s="5">
        <f t="shared" si="0"/>
        <v>3362.2050000000004</v>
      </c>
      <c r="G56" s="7">
        <f>Assumptions!$B$21</f>
        <v>3000</v>
      </c>
      <c r="H56" s="5">
        <f t="shared" si="1"/>
        <v>3000</v>
      </c>
      <c r="I56">
        <f>Tbl_RawData[[#This Row],[Unit_price]]*(1+Assumptions!$B$26)</f>
        <v>12.5</v>
      </c>
      <c r="J56" s="12">
        <f t="shared" si="2"/>
        <v>37500</v>
      </c>
      <c r="K56" t="str">
        <f t="shared" si="3"/>
        <v>Q3</v>
      </c>
      <c r="L56" s="1">
        <f>EOMONTH(Tbl_Forecast[[#This Row],[Date]],0)</f>
        <v>45535</v>
      </c>
    </row>
    <row r="57" spans="1:12" x14ac:dyDescent="0.3">
      <c r="A57" s="1">
        <v>45561</v>
      </c>
      <c r="B57" t="s">
        <v>6</v>
      </c>
      <c r="C57">
        <v>4955</v>
      </c>
      <c r="D57" s="3" cm="1">
        <f t="array" ref="D57">_xlfn.SWITCH(Assumptions!$B$2,"Base",Assumptions!$B$9,"Optimistic",Assumptions!$B$10,"Pessimistic",Assumptions!$B$11)</f>
        <v>0.05</v>
      </c>
      <c r="E57">
        <f>_xlfn.XLOOKUP(K57,Assumptions!$A$14:$A$17,Assumptions!$B$14:$B$17,0,0,1)</f>
        <v>1.1000000000000001</v>
      </c>
      <c r="F57" s="5">
        <f t="shared" si="0"/>
        <v>5723.0250000000005</v>
      </c>
      <c r="G57" s="7">
        <f>Assumptions!$B$21</f>
        <v>3000</v>
      </c>
      <c r="H57" s="5">
        <f t="shared" si="1"/>
        <v>3000</v>
      </c>
      <c r="I57">
        <f>Tbl_RawData[[#This Row],[Unit_price]]*(1+Assumptions!$B$26)</f>
        <v>12.5</v>
      </c>
      <c r="J57" s="12">
        <f t="shared" si="2"/>
        <v>37500</v>
      </c>
      <c r="K57" t="str">
        <f t="shared" si="3"/>
        <v>Q3</v>
      </c>
      <c r="L57" s="1">
        <f>EOMONTH(Tbl_Forecast[[#This Row],[Date]],0)</f>
        <v>45565</v>
      </c>
    </row>
    <row r="58" spans="1:12" x14ac:dyDescent="0.3">
      <c r="A58" s="1">
        <v>45696</v>
      </c>
      <c r="B58" t="s">
        <v>6</v>
      </c>
      <c r="C58">
        <v>926</v>
      </c>
      <c r="D58" s="3" cm="1">
        <f t="array" ref="D58">_xlfn.SWITCH(Assumptions!$B$2,"Base",Assumptions!$B$9,"Optimistic",Assumptions!$B$10,"Pessimistic",Assumptions!$B$11)</f>
        <v>0.05</v>
      </c>
      <c r="E58">
        <f>_xlfn.XLOOKUP(K58,Assumptions!$A$14:$A$17,Assumptions!$B$14:$B$17,0,0,1)</f>
        <v>0.95</v>
      </c>
      <c r="F58" s="5">
        <f t="shared" si="0"/>
        <v>923.68500000000006</v>
      </c>
      <c r="G58" s="7">
        <f>Assumptions!$B$21</f>
        <v>3000</v>
      </c>
      <c r="H58" s="5">
        <f t="shared" si="1"/>
        <v>923.68500000000006</v>
      </c>
      <c r="I58">
        <f>Tbl_RawData[[#This Row],[Unit_price]]*(1+Assumptions!$B$26)</f>
        <v>13</v>
      </c>
      <c r="J58" s="12">
        <f t="shared" si="2"/>
        <v>12007.905000000001</v>
      </c>
      <c r="K58" t="str">
        <f t="shared" si="3"/>
        <v>Q1</v>
      </c>
      <c r="L58" s="1">
        <f>EOMONTH(Tbl_Forecast[[#This Row],[Date]],0)</f>
        <v>45716</v>
      </c>
    </row>
    <row r="59" spans="1:12" x14ac:dyDescent="0.3">
      <c r="A59" s="1">
        <v>45638</v>
      </c>
      <c r="B59" t="s">
        <v>6</v>
      </c>
      <c r="C59">
        <v>2103</v>
      </c>
      <c r="D59" s="3" cm="1">
        <f t="array" ref="D59">_xlfn.SWITCH(Assumptions!$B$2,"Base",Assumptions!$B$9,"Optimistic",Assumptions!$B$10,"Pessimistic",Assumptions!$B$11)</f>
        <v>0.05</v>
      </c>
      <c r="E59">
        <f>_xlfn.XLOOKUP(K59,Assumptions!$A$14:$A$17,Assumptions!$B$14:$B$17,0,0,1)</f>
        <v>1.1499999999999999</v>
      </c>
      <c r="F59" s="5">
        <f t="shared" si="0"/>
        <v>2539.3724999999999</v>
      </c>
      <c r="G59" s="7">
        <f>Assumptions!$B$21</f>
        <v>3000</v>
      </c>
      <c r="H59" s="5">
        <f t="shared" si="1"/>
        <v>2539.3724999999999</v>
      </c>
      <c r="I59">
        <f>Tbl_RawData[[#This Row],[Unit_price]]*(1+Assumptions!$B$26)</f>
        <v>12.5</v>
      </c>
      <c r="J59" s="12">
        <f t="shared" si="2"/>
        <v>31742.15625</v>
      </c>
      <c r="K59" t="str">
        <f t="shared" si="3"/>
        <v>Q4</v>
      </c>
      <c r="L59" s="1">
        <f>EOMONTH(Tbl_Forecast[[#This Row],[Date]],0)</f>
        <v>45657</v>
      </c>
    </row>
    <row r="60" spans="1:12" x14ac:dyDescent="0.3">
      <c r="A60" s="1">
        <v>45931</v>
      </c>
      <c r="B60" t="s">
        <v>4</v>
      </c>
      <c r="C60">
        <v>1251</v>
      </c>
      <c r="D60" s="3" cm="1">
        <f t="array" ref="D60">_xlfn.SWITCH(Assumptions!$B$2,"Base",Assumptions!$B$9,"Optimistic",Assumptions!$B$10,"Pessimistic",Assumptions!$B$11)</f>
        <v>0.05</v>
      </c>
      <c r="E60">
        <f>_xlfn.XLOOKUP(K60,Assumptions!$A$14:$A$17,Assumptions!$B$14:$B$17,0,0,1)</f>
        <v>1.1499999999999999</v>
      </c>
      <c r="F60" s="5">
        <f t="shared" si="0"/>
        <v>1510.5824999999998</v>
      </c>
      <c r="G60" s="7">
        <f>Assumptions!$B$21</f>
        <v>3000</v>
      </c>
      <c r="H60" s="5">
        <f t="shared" si="1"/>
        <v>1510.5824999999998</v>
      </c>
      <c r="I60">
        <f>Tbl_RawData[[#This Row],[Unit_price]]*(1+Assumptions!$B$26)</f>
        <v>13.5</v>
      </c>
      <c r="J60" s="12">
        <f t="shared" si="2"/>
        <v>20392.863749999997</v>
      </c>
      <c r="K60" t="str">
        <f t="shared" si="3"/>
        <v>Q4</v>
      </c>
      <c r="L60" s="1">
        <f>EOMONTH(Tbl_Forecast[[#This Row],[Date]],0)</f>
        <v>45961</v>
      </c>
    </row>
    <row r="61" spans="1:12" x14ac:dyDescent="0.3">
      <c r="A61" s="1">
        <v>45550</v>
      </c>
      <c r="B61" t="s">
        <v>6</v>
      </c>
      <c r="C61">
        <v>4860</v>
      </c>
      <c r="D61" s="3" cm="1">
        <f t="array" ref="D61">_xlfn.SWITCH(Assumptions!$B$2,"Base",Assumptions!$B$9,"Optimistic",Assumptions!$B$10,"Pessimistic",Assumptions!$B$11)</f>
        <v>0.05</v>
      </c>
      <c r="E61">
        <f>_xlfn.XLOOKUP(K61,Assumptions!$A$14:$A$17,Assumptions!$B$14:$B$17,0,0,1)</f>
        <v>1.1000000000000001</v>
      </c>
      <c r="F61" s="5">
        <f t="shared" si="0"/>
        <v>5613.3</v>
      </c>
      <c r="G61" s="7">
        <f>Assumptions!$B$21</f>
        <v>3000</v>
      </c>
      <c r="H61" s="5">
        <f t="shared" si="1"/>
        <v>3000</v>
      </c>
      <c r="I61">
        <f>Tbl_RawData[[#This Row],[Unit_price]]*(1+Assumptions!$B$26)</f>
        <v>12.5</v>
      </c>
      <c r="J61" s="12">
        <f t="shared" si="2"/>
        <v>37500</v>
      </c>
      <c r="K61" t="str">
        <f t="shared" si="3"/>
        <v>Q3</v>
      </c>
      <c r="L61" s="1">
        <f>EOMONTH(Tbl_Forecast[[#This Row],[Date]],0)</f>
        <v>45565</v>
      </c>
    </row>
    <row r="62" spans="1:12" x14ac:dyDescent="0.3">
      <c r="A62" s="1">
        <v>45950</v>
      </c>
      <c r="B62" t="s">
        <v>6</v>
      </c>
      <c r="C62">
        <v>2026</v>
      </c>
      <c r="D62" s="3" cm="1">
        <f t="array" ref="D62">_xlfn.SWITCH(Assumptions!$B$2,"Base",Assumptions!$B$9,"Optimistic",Assumptions!$B$10,"Pessimistic",Assumptions!$B$11)</f>
        <v>0.05</v>
      </c>
      <c r="E62">
        <f>_xlfn.XLOOKUP(K62,Assumptions!$A$14:$A$17,Assumptions!$B$14:$B$17,0,0,1)</f>
        <v>1.1499999999999999</v>
      </c>
      <c r="F62" s="5">
        <f t="shared" si="0"/>
        <v>2446.395</v>
      </c>
      <c r="G62" s="7">
        <f>Assumptions!$B$21</f>
        <v>3000</v>
      </c>
      <c r="H62" s="5">
        <f t="shared" si="1"/>
        <v>2446.395</v>
      </c>
      <c r="I62">
        <f>Tbl_RawData[[#This Row],[Unit_price]]*(1+Assumptions!$B$26)</f>
        <v>13.5</v>
      </c>
      <c r="J62" s="12">
        <f t="shared" si="2"/>
        <v>33026.332499999997</v>
      </c>
      <c r="K62" t="str">
        <f t="shared" si="3"/>
        <v>Q4</v>
      </c>
      <c r="L62" s="1">
        <f>EOMONTH(Tbl_Forecast[[#This Row],[Date]],0)</f>
        <v>45961</v>
      </c>
    </row>
    <row r="63" spans="1:12" x14ac:dyDescent="0.3">
      <c r="A63" s="1">
        <v>45707</v>
      </c>
      <c r="B63" t="s">
        <v>6</v>
      </c>
      <c r="C63">
        <v>2273</v>
      </c>
      <c r="D63" s="3" cm="1">
        <f t="array" ref="D63">_xlfn.SWITCH(Assumptions!$B$2,"Base",Assumptions!$B$9,"Optimistic",Assumptions!$B$10,"Pessimistic",Assumptions!$B$11)</f>
        <v>0.05</v>
      </c>
      <c r="E63">
        <f>_xlfn.XLOOKUP(K63,Assumptions!$A$14:$A$17,Assumptions!$B$14:$B$17,0,0,1)</f>
        <v>0.95</v>
      </c>
      <c r="F63" s="5">
        <f t="shared" si="0"/>
        <v>2267.3175000000001</v>
      </c>
      <c r="G63" s="7">
        <f>Assumptions!$B$21</f>
        <v>3000</v>
      </c>
      <c r="H63" s="5">
        <f t="shared" si="1"/>
        <v>2267.3175000000001</v>
      </c>
      <c r="I63">
        <f>Tbl_RawData[[#This Row],[Unit_price]]*(1+Assumptions!$B$26)</f>
        <v>13</v>
      </c>
      <c r="J63" s="12">
        <f t="shared" si="2"/>
        <v>29475.127500000002</v>
      </c>
      <c r="K63" t="str">
        <f t="shared" si="3"/>
        <v>Q1</v>
      </c>
      <c r="L63" s="1">
        <f>EOMONTH(Tbl_Forecast[[#This Row],[Date]],0)</f>
        <v>45716</v>
      </c>
    </row>
    <row r="64" spans="1:12" x14ac:dyDescent="0.3">
      <c r="A64" s="1">
        <v>45663</v>
      </c>
      <c r="B64" t="s">
        <v>4</v>
      </c>
      <c r="C64">
        <v>1670</v>
      </c>
      <c r="D64" s="3" cm="1">
        <f t="array" ref="D64">_xlfn.SWITCH(Assumptions!$B$2,"Base",Assumptions!$B$9,"Optimistic",Assumptions!$B$10,"Pessimistic",Assumptions!$B$11)</f>
        <v>0.05</v>
      </c>
      <c r="E64">
        <f>_xlfn.XLOOKUP(K64,Assumptions!$A$14:$A$17,Assumptions!$B$14:$B$17,0,0,1)</f>
        <v>0.95</v>
      </c>
      <c r="F64" s="5">
        <f t="shared" si="0"/>
        <v>1665.8249999999998</v>
      </c>
      <c r="G64" s="7">
        <f>Assumptions!$B$21</f>
        <v>3000</v>
      </c>
      <c r="H64" s="5">
        <f t="shared" si="1"/>
        <v>1665.8249999999998</v>
      </c>
      <c r="I64">
        <f>Tbl_RawData[[#This Row],[Unit_price]]*(1+Assumptions!$B$26)</f>
        <v>13</v>
      </c>
      <c r="J64" s="12">
        <f t="shared" si="2"/>
        <v>21655.724999999999</v>
      </c>
      <c r="K64" t="str">
        <f t="shared" si="3"/>
        <v>Q1</v>
      </c>
      <c r="L64" s="1">
        <f>EOMONTH(Tbl_Forecast[[#This Row],[Date]],0)</f>
        <v>45688</v>
      </c>
    </row>
    <row r="65" spans="1:12" x14ac:dyDescent="0.3">
      <c r="A65" s="1">
        <v>45754</v>
      </c>
      <c r="B65" t="s">
        <v>5</v>
      </c>
      <c r="C65">
        <v>1501</v>
      </c>
      <c r="D65" s="3" cm="1">
        <f t="array" ref="D65">_xlfn.SWITCH(Assumptions!$B$2,"Base",Assumptions!$B$9,"Optimistic",Assumptions!$B$10,"Pessimistic",Assumptions!$B$11)</f>
        <v>0.05</v>
      </c>
      <c r="E65">
        <f>_xlfn.XLOOKUP(K65,Assumptions!$A$14:$A$17,Assumptions!$B$14:$B$17,0,0,1)</f>
        <v>1</v>
      </c>
      <c r="F65" s="5">
        <f t="shared" si="0"/>
        <v>1576.05</v>
      </c>
      <c r="G65" s="7">
        <f>Assumptions!$B$21</f>
        <v>3000</v>
      </c>
      <c r="H65" s="5">
        <f t="shared" si="1"/>
        <v>1576.05</v>
      </c>
      <c r="I65">
        <f>Tbl_RawData[[#This Row],[Unit_price]]*(1+Assumptions!$B$26)</f>
        <v>13</v>
      </c>
      <c r="J65" s="12">
        <f t="shared" si="2"/>
        <v>20488.649999999998</v>
      </c>
      <c r="K65" t="str">
        <f t="shared" si="3"/>
        <v>Q2</v>
      </c>
      <c r="L65" s="1">
        <f>EOMONTH(Tbl_Forecast[[#This Row],[Date]],0)</f>
        <v>45777</v>
      </c>
    </row>
    <row r="66" spans="1:12" x14ac:dyDescent="0.3">
      <c r="A66" s="1">
        <v>45931</v>
      </c>
      <c r="B66" t="s">
        <v>6</v>
      </c>
      <c r="C66">
        <v>438</v>
      </c>
      <c r="D66" s="3" cm="1">
        <f t="array" ref="D66">_xlfn.SWITCH(Assumptions!$B$2,"Base",Assumptions!$B$9,"Optimistic",Assumptions!$B$10,"Pessimistic",Assumptions!$B$11)</f>
        <v>0.05</v>
      </c>
      <c r="E66">
        <f>_xlfn.XLOOKUP(K66,Assumptions!$A$14:$A$17,Assumptions!$B$14:$B$17,0,0,1)</f>
        <v>1.1499999999999999</v>
      </c>
      <c r="F66" s="5">
        <f t="shared" si="0"/>
        <v>528.88499999999999</v>
      </c>
      <c r="G66" s="7">
        <f>Assumptions!$B$21</f>
        <v>3000</v>
      </c>
      <c r="H66" s="5">
        <f t="shared" si="1"/>
        <v>528.88499999999999</v>
      </c>
      <c r="I66">
        <f>Tbl_RawData[[#This Row],[Unit_price]]*(1+Assumptions!$B$26)</f>
        <v>13.5</v>
      </c>
      <c r="J66" s="12">
        <f t="shared" si="2"/>
        <v>7139.9475000000002</v>
      </c>
      <c r="K66" t="str">
        <f t="shared" si="3"/>
        <v>Q4</v>
      </c>
      <c r="L66" s="1">
        <f>EOMONTH(Tbl_Forecast[[#This Row],[Date]],0)</f>
        <v>45961</v>
      </c>
    </row>
    <row r="67" spans="1:12" x14ac:dyDescent="0.3">
      <c r="A67" s="1">
        <v>45588</v>
      </c>
      <c r="B67" t="s">
        <v>5</v>
      </c>
      <c r="C67">
        <v>3718</v>
      </c>
      <c r="D67" s="3" cm="1">
        <f t="array" ref="D67">_xlfn.SWITCH(Assumptions!$B$2,"Base",Assumptions!$B$9,"Optimistic",Assumptions!$B$10,"Pessimistic",Assumptions!$B$11)</f>
        <v>0.05</v>
      </c>
      <c r="E67">
        <f>_xlfn.XLOOKUP(K67,Assumptions!$A$14:$A$17,Assumptions!$B$14:$B$17,0,0,1)</f>
        <v>1.1499999999999999</v>
      </c>
      <c r="F67" s="5">
        <f t="shared" ref="F67:F130" si="4">C67*(1+D67)*E67</f>
        <v>4489.4849999999997</v>
      </c>
      <c r="G67" s="7">
        <f>Assumptions!$B$21</f>
        <v>3000</v>
      </c>
      <c r="H67" s="5">
        <f t="shared" ref="H67:H130" si="5">MIN(F67,G67)</f>
        <v>3000</v>
      </c>
      <c r="I67">
        <f>Tbl_RawData[[#This Row],[Unit_price]]*(1+Assumptions!$B$26)</f>
        <v>12.5</v>
      </c>
      <c r="J67" s="12">
        <f t="shared" ref="J67:J130" si="6">H67*I67</f>
        <v>37500</v>
      </c>
      <c r="K67" t="str">
        <f t="shared" ref="K67:K130" si="7">"Q"&amp;ROUNDUP(MONTH(A67)/3,0)</f>
        <v>Q4</v>
      </c>
      <c r="L67" s="1">
        <f>EOMONTH(Tbl_Forecast[[#This Row],[Date]],0)</f>
        <v>45596</v>
      </c>
    </row>
    <row r="68" spans="1:12" x14ac:dyDescent="0.3">
      <c r="A68" s="1">
        <v>45397</v>
      </c>
      <c r="B68" t="s">
        <v>4</v>
      </c>
      <c r="C68">
        <v>1719</v>
      </c>
      <c r="D68" s="3" cm="1">
        <f t="array" ref="D68">_xlfn.SWITCH(Assumptions!$B$2,"Base",Assumptions!$B$9,"Optimistic",Assumptions!$B$10,"Pessimistic",Assumptions!$B$11)</f>
        <v>0.05</v>
      </c>
      <c r="E68">
        <f>_xlfn.XLOOKUP(K68,Assumptions!$A$14:$A$17,Assumptions!$B$14:$B$17,0,0,1)</f>
        <v>1</v>
      </c>
      <c r="F68" s="5">
        <f t="shared" si="4"/>
        <v>1804.95</v>
      </c>
      <c r="G68" s="7">
        <f>Assumptions!$B$21</f>
        <v>3000</v>
      </c>
      <c r="H68" s="5">
        <f t="shared" si="5"/>
        <v>1804.95</v>
      </c>
      <c r="I68">
        <f>Tbl_RawData[[#This Row],[Unit_price]]*(1+Assumptions!$B$26)</f>
        <v>12</v>
      </c>
      <c r="J68" s="12">
        <f t="shared" si="6"/>
        <v>21659.4</v>
      </c>
      <c r="K68" t="str">
        <f t="shared" si="7"/>
        <v>Q2</v>
      </c>
      <c r="L68" s="1">
        <f>EOMONTH(Tbl_Forecast[[#This Row],[Date]],0)</f>
        <v>45412</v>
      </c>
    </row>
    <row r="69" spans="1:12" x14ac:dyDescent="0.3">
      <c r="A69" s="1">
        <v>45315</v>
      </c>
      <c r="B69" t="s">
        <v>4</v>
      </c>
      <c r="C69">
        <v>2826</v>
      </c>
      <c r="D69" s="3" cm="1">
        <f t="array" ref="D69">_xlfn.SWITCH(Assumptions!$B$2,"Base",Assumptions!$B$9,"Optimistic",Assumptions!$B$10,"Pessimistic",Assumptions!$B$11)</f>
        <v>0.05</v>
      </c>
      <c r="E69">
        <f>_xlfn.XLOOKUP(K69,Assumptions!$A$14:$A$17,Assumptions!$B$14:$B$17,0,0,1)</f>
        <v>0.95</v>
      </c>
      <c r="F69" s="5">
        <f t="shared" si="4"/>
        <v>2818.9349999999999</v>
      </c>
      <c r="G69" s="7">
        <f>Assumptions!$B$21</f>
        <v>3000</v>
      </c>
      <c r="H69" s="5">
        <f t="shared" si="5"/>
        <v>2818.9349999999999</v>
      </c>
      <c r="I69">
        <f>Tbl_RawData[[#This Row],[Unit_price]]*(1+Assumptions!$B$26)</f>
        <v>12</v>
      </c>
      <c r="J69" s="12">
        <f t="shared" si="6"/>
        <v>33827.22</v>
      </c>
      <c r="K69" t="str">
        <f t="shared" si="7"/>
        <v>Q1</v>
      </c>
      <c r="L69" s="1">
        <f>EOMONTH(Tbl_Forecast[[#This Row],[Date]],0)</f>
        <v>45322</v>
      </c>
    </row>
    <row r="70" spans="1:12" x14ac:dyDescent="0.3">
      <c r="A70" s="1">
        <v>45855</v>
      </c>
      <c r="B70" t="s">
        <v>5</v>
      </c>
      <c r="C70">
        <v>2123</v>
      </c>
      <c r="D70" s="3" cm="1">
        <f t="array" ref="D70">_xlfn.SWITCH(Assumptions!$B$2,"Base",Assumptions!$B$9,"Optimistic",Assumptions!$B$10,"Pessimistic",Assumptions!$B$11)</f>
        <v>0.05</v>
      </c>
      <c r="E70">
        <f>_xlfn.XLOOKUP(K70,Assumptions!$A$14:$A$17,Assumptions!$B$14:$B$17,0,0,1)</f>
        <v>1.1000000000000001</v>
      </c>
      <c r="F70" s="5">
        <f t="shared" si="4"/>
        <v>2452.0650000000005</v>
      </c>
      <c r="G70" s="7">
        <f>Assumptions!$B$21</f>
        <v>3000</v>
      </c>
      <c r="H70" s="5">
        <f t="shared" si="5"/>
        <v>2452.0650000000005</v>
      </c>
      <c r="I70">
        <f>Tbl_RawData[[#This Row],[Unit_price]]*(1+Assumptions!$B$26)</f>
        <v>13.5</v>
      </c>
      <c r="J70" s="12">
        <f t="shared" si="6"/>
        <v>33102.87750000001</v>
      </c>
      <c r="K70" t="str">
        <f t="shared" si="7"/>
        <v>Q3</v>
      </c>
      <c r="L70" s="1">
        <f>EOMONTH(Tbl_Forecast[[#This Row],[Date]],0)</f>
        <v>45869</v>
      </c>
    </row>
    <row r="71" spans="1:12" x14ac:dyDescent="0.3">
      <c r="A71" s="1">
        <v>45996</v>
      </c>
      <c r="B71" t="s">
        <v>6</v>
      </c>
      <c r="C71">
        <v>4684</v>
      </c>
      <c r="D71" s="3" cm="1">
        <f t="array" ref="D71">_xlfn.SWITCH(Assumptions!$B$2,"Base",Assumptions!$B$9,"Optimistic",Assumptions!$B$10,"Pessimistic",Assumptions!$B$11)</f>
        <v>0.05</v>
      </c>
      <c r="E71">
        <f>_xlfn.XLOOKUP(K71,Assumptions!$A$14:$A$17,Assumptions!$B$14:$B$17,0,0,1)</f>
        <v>1.1499999999999999</v>
      </c>
      <c r="F71" s="5">
        <f t="shared" si="4"/>
        <v>5655.9299999999994</v>
      </c>
      <c r="G71" s="7">
        <f>Assumptions!$B$21</f>
        <v>3000</v>
      </c>
      <c r="H71" s="5">
        <f t="shared" si="5"/>
        <v>3000</v>
      </c>
      <c r="I71">
        <f>Tbl_RawData[[#This Row],[Unit_price]]*(1+Assumptions!$B$26)</f>
        <v>13.5</v>
      </c>
      <c r="J71" s="12">
        <f t="shared" si="6"/>
        <v>40500</v>
      </c>
      <c r="K71" t="str">
        <f t="shared" si="7"/>
        <v>Q4</v>
      </c>
      <c r="L71" s="1">
        <f>EOMONTH(Tbl_Forecast[[#This Row],[Date]],0)</f>
        <v>46022</v>
      </c>
    </row>
    <row r="72" spans="1:12" x14ac:dyDescent="0.3">
      <c r="A72" s="1">
        <v>45325</v>
      </c>
      <c r="B72" t="s">
        <v>4</v>
      </c>
      <c r="C72">
        <v>584</v>
      </c>
      <c r="D72" s="3" cm="1">
        <f t="array" ref="D72">_xlfn.SWITCH(Assumptions!$B$2,"Base",Assumptions!$B$9,"Optimistic",Assumptions!$B$10,"Pessimistic",Assumptions!$B$11)</f>
        <v>0.05</v>
      </c>
      <c r="E72">
        <f>_xlfn.XLOOKUP(K72,Assumptions!$A$14:$A$17,Assumptions!$B$14:$B$17,0,0,1)</f>
        <v>0.95</v>
      </c>
      <c r="F72" s="5">
        <f t="shared" si="4"/>
        <v>582.54</v>
      </c>
      <c r="G72" s="7">
        <f>Assumptions!$B$21</f>
        <v>3000</v>
      </c>
      <c r="H72" s="5">
        <f t="shared" si="5"/>
        <v>582.54</v>
      </c>
      <c r="I72">
        <f>Tbl_RawData[[#This Row],[Unit_price]]*(1+Assumptions!$B$26)</f>
        <v>12</v>
      </c>
      <c r="J72" s="12">
        <f t="shared" si="6"/>
        <v>6990.48</v>
      </c>
      <c r="K72" t="str">
        <f t="shared" si="7"/>
        <v>Q1</v>
      </c>
      <c r="L72" s="1">
        <f>EOMONTH(Tbl_Forecast[[#This Row],[Date]],0)</f>
        <v>45351</v>
      </c>
    </row>
    <row r="73" spans="1:12" x14ac:dyDescent="0.3">
      <c r="A73" s="1">
        <v>45954</v>
      </c>
      <c r="B73" t="s">
        <v>6</v>
      </c>
      <c r="C73">
        <v>1398</v>
      </c>
      <c r="D73" s="3" cm="1">
        <f t="array" ref="D73">_xlfn.SWITCH(Assumptions!$B$2,"Base",Assumptions!$B$9,"Optimistic",Assumptions!$B$10,"Pessimistic",Assumptions!$B$11)</f>
        <v>0.05</v>
      </c>
      <c r="E73">
        <f>_xlfn.XLOOKUP(K73,Assumptions!$A$14:$A$17,Assumptions!$B$14:$B$17,0,0,1)</f>
        <v>1.1499999999999999</v>
      </c>
      <c r="F73" s="5">
        <f t="shared" si="4"/>
        <v>1688.085</v>
      </c>
      <c r="G73" s="7">
        <f>Assumptions!$B$21</f>
        <v>3000</v>
      </c>
      <c r="H73" s="5">
        <f t="shared" si="5"/>
        <v>1688.085</v>
      </c>
      <c r="I73">
        <f>Tbl_RawData[[#This Row],[Unit_price]]*(1+Assumptions!$B$26)</f>
        <v>13.5</v>
      </c>
      <c r="J73" s="12">
        <f t="shared" si="6"/>
        <v>22789.147499999999</v>
      </c>
      <c r="K73" t="str">
        <f t="shared" si="7"/>
        <v>Q4</v>
      </c>
      <c r="L73" s="1">
        <f>EOMONTH(Tbl_Forecast[[#This Row],[Date]],0)</f>
        <v>45961</v>
      </c>
    </row>
    <row r="74" spans="1:12" x14ac:dyDescent="0.3">
      <c r="A74" s="1">
        <v>45910</v>
      </c>
      <c r="B74" t="s">
        <v>4</v>
      </c>
      <c r="C74">
        <v>3900</v>
      </c>
      <c r="D74" s="3" cm="1">
        <f t="array" ref="D74">_xlfn.SWITCH(Assumptions!$B$2,"Base",Assumptions!$B$9,"Optimistic",Assumptions!$B$10,"Pessimistic",Assumptions!$B$11)</f>
        <v>0.05</v>
      </c>
      <c r="E74">
        <f>_xlfn.XLOOKUP(K74,Assumptions!$A$14:$A$17,Assumptions!$B$14:$B$17,0,0,1)</f>
        <v>1.1000000000000001</v>
      </c>
      <c r="F74" s="5">
        <f t="shared" si="4"/>
        <v>4504.5</v>
      </c>
      <c r="G74" s="7">
        <f>Assumptions!$B$21</f>
        <v>3000</v>
      </c>
      <c r="H74" s="5">
        <f t="shared" si="5"/>
        <v>3000</v>
      </c>
      <c r="I74">
        <f>Tbl_RawData[[#This Row],[Unit_price]]*(1+Assumptions!$B$26)</f>
        <v>13.5</v>
      </c>
      <c r="J74" s="12">
        <f t="shared" si="6"/>
        <v>40500</v>
      </c>
      <c r="K74" t="str">
        <f t="shared" si="7"/>
        <v>Q3</v>
      </c>
      <c r="L74" s="1">
        <f>EOMONTH(Tbl_Forecast[[#This Row],[Date]],0)</f>
        <v>45930</v>
      </c>
    </row>
    <row r="75" spans="1:12" x14ac:dyDescent="0.3">
      <c r="A75" s="1">
        <v>45866</v>
      </c>
      <c r="B75" t="s">
        <v>4</v>
      </c>
      <c r="C75">
        <v>2970</v>
      </c>
      <c r="D75" s="3" cm="1">
        <f t="array" ref="D75">_xlfn.SWITCH(Assumptions!$B$2,"Base",Assumptions!$B$9,"Optimistic",Assumptions!$B$10,"Pessimistic",Assumptions!$B$11)</f>
        <v>0.05</v>
      </c>
      <c r="E75">
        <f>_xlfn.XLOOKUP(K75,Assumptions!$A$14:$A$17,Assumptions!$B$14:$B$17,0,0,1)</f>
        <v>1.1000000000000001</v>
      </c>
      <c r="F75" s="5">
        <f t="shared" si="4"/>
        <v>3430.3500000000004</v>
      </c>
      <c r="G75" s="7">
        <f>Assumptions!$B$21</f>
        <v>3000</v>
      </c>
      <c r="H75" s="5">
        <f t="shared" si="5"/>
        <v>3000</v>
      </c>
      <c r="I75">
        <f>Tbl_RawData[[#This Row],[Unit_price]]*(1+Assumptions!$B$26)</f>
        <v>13.5</v>
      </c>
      <c r="J75" s="12">
        <f t="shared" si="6"/>
        <v>40500</v>
      </c>
      <c r="K75" t="str">
        <f t="shared" si="7"/>
        <v>Q3</v>
      </c>
      <c r="L75" s="1">
        <f>EOMONTH(Tbl_Forecast[[#This Row],[Date]],0)</f>
        <v>45869</v>
      </c>
    </row>
    <row r="76" spans="1:12" x14ac:dyDescent="0.3">
      <c r="A76" s="1">
        <v>45537</v>
      </c>
      <c r="B76" t="s">
        <v>4</v>
      </c>
      <c r="C76">
        <v>1743</v>
      </c>
      <c r="D76" s="3" cm="1">
        <f t="array" ref="D76">_xlfn.SWITCH(Assumptions!$B$2,"Base",Assumptions!$B$9,"Optimistic",Assumptions!$B$10,"Pessimistic",Assumptions!$B$11)</f>
        <v>0.05</v>
      </c>
      <c r="E76">
        <f>_xlfn.XLOOKUP(K76,Assumptions!$A$14:$A$17,Assumptions!$B$14:$B$17,0,0,1)</f>
        <v>1.1000000000000001</v>
      </c>
      <c r="F76" s="5">
        <f t="shared" si="4"/>
        <v>2013.1650000000002</v>
      </c>
      <c r="G76" s="7">
        <f>Assumptions!$B$21</f>
        <v>3000</v>
      </c>
      <c r="H76" s="5">
        <f t="shared" si="5"/>
        <v>2013.1650000000002</v>
      </c>
      <c r="I76">
        <f>Tbl_RawData[[#This Row],[Unit_price]]*(1+Assumptions!$B$26)</f>
        <v>12.5</v>
      </c>
      <c r="J76" s="12">
        <f t="shared" si="6"/>
        <v>25164.562500000004</v>
      </c>
      <c r="K76" t="str">
        <f t="shared" si="7"/>
        <v>Q3</v>
      </c>
      <c r="L76" s="1">
        <f>EOMONTH(Tbl_Forecast[[#This Row],[Date]],0)</f>
        <v>45565</v>
      </c>
    </row>
    <row r="77" spans="1:12" x14ac:dyDescent="0.3">
      <c r="A77" s="1">
        <v>45829</v>
      </c>
      <c r="B77" t="s">
        <v>4</v>
      </c>
      <c r="C77">
        <v>2187</v>
      </c>
      <c r="D77" s="3" cm="1">
        <f t="array" ref="D77">_xlfn.SWITCH(Assumptions!$B$2,"Base",Assumptions!$B$9,"Optimistic",Assumptions!$B$10,"Pessimistic",Assumptions!$B$11)</f>
        <v>0.05</v>
      </c>
      <c r="E77">
        <f>_xlfn.XLOOKUP(K77,Assumptions!$A$14:$A$17,Assumptions!$B$14:$B$17,0,0,1)</f>
        <v>1</v>
      </c>
      <c r="F77" s="5">
        <f t="shared" si="4"/>
        <v>2296.35</v>
      </c>
      <c r="G77" s="7">
        <f>Assumptions!$B$21</f>
        <v>3000</v>
      </c>
      <c r="H77" s="5">
        <f t="shared" si="5"/>
        <v>2296.35</v>
      </c>
      <c r="I77">
        <f>Tbl_RawData[[#This Row],[Unit_price]]*(1+Assumptions!$B$26)</f>
        <v>13</v>
      </c>
      <c r="J77" s="12">
        <f t="shared" si="6"/>
        <v>29852.55</v>
      </c>
      <c r="K77" t="str">
        <f t="shared" si="7"/>
        <v>Q2</v>
      </c>
      <c r="L77" s="1">
        <f>EOMONTH(Tbl_Forecast[[#This Row],[Date]],0)</f>
        <v>45838</v>
      </c>
    </row>
    <row r="78" spans="1:12" x14ac:dyDescent="0.3">
      <c r="A78" s="1">
        <v>45368</v>
      </c>
      <c r="B78" t="s">
        <v>5</v>
      </c>
      <c r="C78">
        <v>1026</v>
      </c>
      <c r="D78" s="3" cm="1">
        <f t="array" ref="D78">_xlfn.SWITCH(Assumptions!$B$2,"Base",Assumptions!$B$9,"Optimistic",Assumptions!$B$10,"Pessimistic",Assumptions!$B$11)</f>
        <v>0.05</v>
      </c>
      <c r="E78">
        <f>_xlfn.XLOOKUP(K78,Assumptions!$A$14:$A$17,Assumptions!$B$14:$B$17,0,0,1)</f>
        <v>0.95</v>
      </c>
      <c r="F78" s="5">
        <f t="shared" si="4"/>
        <v>1023.4349999999999</v>
      </c>
      <c r="G78" s="7">
        <f>Assumptions!$B$21</f>
        <v>3000</v>
      </c>
      <c r="H78" s="5">
        <f t="shared" si="5"/>
        <v>1023.4349999999999</v>
      </c>
      <c r="I78">
        <f>Tbl_RawData[[#This Row],[Unit_price]]*(1+Assumptions!$B$26)</f>
        <v>12</v>
      </c>
      <c r="J78" s="12">
        <f t="shared" si="6"/>
        <v>12281.22</v>
      </c>
      <c r="K78" t="str">
        <f t="shared" si="7"/>
        <v>Q1</v>
      </c>
      <c r="L78" s="1">
        <f>EOMONTH(Tbl_Forecast[[#This Row],[Date]],0)</f>
        <v>45382</v>
      </c>
    </row>
    <row r="79" spans="1:12" x14ac:dyDescent="0.3">
      <c r="A79" s="1">
        <v>45747</v>
      </c>
      <c r="B79" t="s">
        <v>5</v>
      </c>
      <c r="C79">
        <v>491</v>
      </c>
      <c r="D79" s="3" cm="1">
        <f t="array" ref="D79">_xlfn.SWITCH(Assumptions!$B$2,"Base",Assumptions!$B$9,"Optimistic",Assumptions!$B$10,"Pessimistic",Assumptions!$B$11)</f>
        <v>0.05</v>
      </c>
      <c r="E79">
        <f>_xlfn.XLOOKUP(K79,Assumptions!$A$14:$A$17,Assumptions!$B$14:$B$17,0,0,1)</f>
        <v>0.95</v>
      </c>
      <c r="F79" s="5">
        <f t="shared" si="4"/>
        <v>489.77250000000004</v>
      </c>
      <c r="G79" s="7">
        <f>Assumptions!$B$21</f>
        <v>3000</v>
      </c>
      <c r="H79" s="5">
        <f t="shared" si="5"/>
        <v>489.77250000000004</v>
      </c>
      <c r="I79">
        <f>Tbl_RawData[[#This Row],[Unit_price]]*(1+Assumptions!$B$26)</f>
        <v>13</v>
      </c>
      <c r="J79" s="12">
        <f t="shared" si="6"/>
        <v>6367.0425000000005</v>
      </c>
      <c r="K79" t="str">
        <f t="shared" si="7"/>
        <v>Q1</v>
      </c>
      <c r="L79" s="1">
        <f>EOMONTH(Tbl_Forecast[[#This Row],[Date]],0)</f>
        <v>45747</v>
      </c>
    </row>
    <row r="80" spans="1:12" x14ac:dyDescent="0.3">
      <c r="A80" s="1">
        <v>45530</v>
      </c>
      <c r="B80" t="s">
        <v>6</v>
      </c>
      <c r="C80">
        <v>4140</v>
      </c>
      <c r="D80" s="3" cm="1">
        <f t="array" ref="D80">_xlfn.SWITCH(Assumptions!$B$2,"Base",Assumptions!$B$9,"Optimistic",Assumptions!$B$10,"Pessimistic",Assumptions!$B$11)</f>
        <v>0.05</v>
      </c>
      <c r="E80">
        <f>_xlfn.XLOOKUP(K80,Assumptions!$A$14:$A$17,Assumptions!$B$14:$B$17,0,0,1)</f>
        <v>1.1000000000000001</v>
      </c>
      <c r="F80" s="5">
        <f t="shared" si="4"/>
        <v>4781.7000000000007</v>
      </c>
      <c r="G80" s="7">
        <f>Assumptions!$B$21</f>
        <v>3000</v>
      </c>
      <c r="H80" s="5">
        <f t="shared" si="5"/>
        <v>3000</v>
      </c>
      <c r="I80">
        <f>Tbl_RawData[[#This Row],[Unit_price]]*(1+Assumptions!$B$26)</f>
        <v>12.5</v>
      </c>
      <c r="J80" s="12">
        <f t="shared" si="6"/>
        <v>37500</v>
      </c>
      <c r="K80" t="str">
        <f t="shared" si="7"/>
        <v>Q3</v>
      </c>
      <c r="L80" s="1">
        <f>EOMONTH(Tbl_Forecast[[#This Row],[Date]],0)</f>
        <v>45535</v>
      </c>
    </row>
    <row r="81" spans="1:12" x14ac:dyDescent="0.3">
      <c r="A81" s="1">
        <v>45454</v>
      </c>
      <c r="B81" t="s">
        <v>6</v>
      </c>
      <c r="C81">
        <v>1405</v>
      </c>
      <c r="D81" s="3" cm="1">
        <f t="array" ref="D81">_xlfn.SWITCH(Assumptions!$B$2,"Base",Assumptions!$B$9,"Optimistic",Assumptions!$B$10,"Pessimistic",Assumptions!$B$11)</f>
        <v>0.05</v>
      </c>
      <c r="E81">
        <f>_xlfn.XLOOKUP(K81,Assumptions!$A$14:$A$17,Assumptions!$B$14:$B$17,0,0,1)</f>
        <v>1</v>
      </c>
      <c r="F81" s="5">
        <f t="shared" si="4"/>
        <v>1475.25</v>
      </c>
      <c r="G81" s="7">
        <f>Assumptions!$B$21</f>
        <v>3000</v>
      </c>
      <c r="H81" s="5">
        <f t="shared" si="5"/>
        <v>1475.25</v>
      </c>
      <c r="I81">
        <f>Tbl_RawData[[#This Row],[Unit_price]]*(1+Assumptions!$B$26)</f>
        <v>12</v>
      </c>
      <c r="J81" s="12">
        <f t="shared" si="6"/>
        <v>17703</v>
      </c>
      <c r="K81" t="str">
        <f t="shared" si="7"/>
        <v>Q2</v>
      </c>
      <c r="L81" s="1">
        <f>EOMONTH(Tbl_Forecast[[#This Row],[Date]],0)</f>
        <v>45473</v>
      </c>
    </row>
    <row r="82" spans="1:12" x14ac:dyDescent="0.3">
      <c r="A82" s="1">
        <v>45794</v>
      </c>
      <c r="B82" t="s">
        <v>6</v>
      </c>
      <c r="C82">
        <v>3459</v>
      </c>
      <c r="D82" s="3" cm="1">
        <f t="array" ref="D82">_xlfn.SWITCH(Assumptions!$B$2,"Base",Assumptions!$B$9,"Optimistic",Assumptions!$B$10,"Pessimistic",Assumptions!$B$11)</f>
        <v>0.05</v>
      </c>
      <c r="E82">
        <f>_xlfn.XLOOKUP(K82,Assumptions!$A$14:$A$17,Assumptions!$B$14:$B$17,0,0,1)</f>
        <v>1</v>
      </c>
      <c r="F82" s="5">
        <f t="shared" si="4"/>
        <v>3631.9500000000003</v>
      </c>
      <c r="G82" s="7">
        <f>Assumptions!$B$21</f>
        <v>3000</v>
      </c>
      <c r="H82" s="5">
        <f t="shared" si="5"/>
        <v>3000</v>
      </c>
      <c r="I82">
        <f>Tbl_RawData[[#This Row],[Unit_price]]*(1+Assumptions!$B$26)</f>
        <v>13</v>
      </c>
      <c r="J82" s="12">
        <f t="shared" si="6"/>
        <v>39000</v>
      </c>
      <c r="K82" t="str">
        <f t="shared" si="7"/>
        <v>Q2</v>
      </c>
      <c r="L82" s="1">
        <f>EOMONTH(Tbl_Forecast[[#This Row],[Date]],0)</f>
        <v>45808</v>
      </c>
    </row>
    <row r="83" spans="1:12" x14ac:dyDescent="0.3">
      <c r="A83" s="1">
        <v>45540</v>
      </c>
      <c r="B83" t="s">
        <v>5</v>
      </c>
      <c r="C83">
        <v>4910</v>
      </c>
      <c r="D83" s="3" cm="1">
        <f t="array" ref="D83">_xlfn.SWITCH(Assumptions!$B$2,"Base",Assumptions!$B$9,"Optimistic",Assumptions!$B$10,"Pessimistic",Assumptions!$B$11)</f>
        <v>0.05</v>
      </c>
      <c r="E83">
        <f>_xlfn.XLOOKUP(K83,Assumptions!$A$14:$A$17,Assumptions!$B$14:$B$17,0,0,1)</f>
        <v>1.1000000000000001</v>
      </c>
      <c r="F83" s="5">
        <f t="shared" si="4"/>
        <v>5671.05</v>
      </c>
      <c r="G83" s="7">
        <f>Assumptions!$B$21</f>
        <v>3000</v>
      </c>
      <c r="H83" s="5">
        <f t="shared" si="5"/>
        <v>3000</v>
      </c>
      <c r="I83">
        <f>Tbl_RawData[[#This Row],[Unit_price]]*(1+Assumptions!$B$26)</f>
        <v>12.5</v>
      </c>
      <c r="J83" s="12">
        <f t="shared" si="6"/>
        <v>37500</v>
      </c>
      <c r="K83" t="str">
        <f t="shared" si="7"/>
        <v>Q3</v>
      </c>
      <c r="L83" s="1">
        <f>EOMONTH(Tbl_Forecast[[#This Row],[Date]],0)</f>
        <v>45565</v>
      </c>
    </row>
    <row r="84" spans="1:12" x14ac:dyDescent="0.3">
      <c r="A84" s="1">
        <v>45884</v>
      </c>
      <c r="B84" t="s">
        <v>4</v>
      </c>
      <c r="C84">
        <v>1178</v>
      </c>
      <c r="D84" s="3" cm="1">
        <f t="array" ref="D84">_xlfn.SWITCH(Assumptions!$B$2,"Base",Assumptions!$B$9,"Optimistic",Assumptions!$B$10,"Pessimistic",Assumptions!$B$11)</f>
        <v>0.05</v>
      </c>
      <c r="E84">
        <f>_xlfn.XLOOKUP(K84,Assumptions!$A$14:$A$17,Assumptions!$B$14:$B$17,0,0,1)</f>
        <v>1.1000000000000001</v>
      </c>
      <c r="F84" s="5">
        <f t="shared" si="4"/>
        <v>1360.5900000000001</v>
      </c>
      <c r="G84" s="7">
        <f>Assumptions!$B$21</f>
        <v>3000</v>
      </c>
      <c r="H84" s="5">
        <f t="shared" si="5"/>
        <v>1360.5900000000001</v>
      </c>
      <c r="I84">
        <f>Tbl_RawData[[#This Row],[Unit_price]]*(1+Assumptions!$B$26)</f>
        <v>13.5</v>
      </c>
      <c r="J84" s="12">
        <f t="shared" si="6"/>
        <v>18367.965000000004</v>
      </c>
      <c r="K84" t="str">
        <f t="shared" si="7"/>
        <v>Q3</v>
      </c>
      <c r="L84" s="1">
        <f>EOMONTH(Tbl_Forecast[[#This Row],[Date]],0)</f>
        <v>45900</v>
      </c>
    </row>
    <row r="85" spans="1:12" x14ac:dyDescent="0.3">
      <c r="A85" s="1">
        <v>45641</v>
      </c>
      <c r="B85" t="s">
        <v>4</v>
      </c>
      <c r="C85">
        <v>4912</v>
      </c>
      <c r="D85" s="3" cm="1">
        <f t="array" ref="D85">_xlfn.SWITCH(Assumptions!$B$2,"Base",Assumptions!$B$9,"Optimistic",Assumptions!$B$10,"Pessimistic",Assumptions!$B$11)</f>
        <v>0.05</v>
      </c>
      <c r="E85">
        <f>_xlfn.XLOOKUP(K85,Assumptions!$A$14:$A$17,Assumptions!$B$14:$B$17,0,0,1)</f>
        <v>1.1499999999999999</v>
      </c>
      <c r="F85" s="5">
        <f t="shared" si="4"/>
        <v>5931.24</v>
      </c>
      <c r="G85" s="7">
        <f>Assumptions!$B$21</f>
        <v>3000</v>
      </c>
      <c r="H85" s="5">
        <f t="shared" si="5"/>
        <v>3000</v>
      </c>
      <c r="I85">
        <f>Tbl_RawData[[#This Row],[Unit_price]]*(1+Assumptions!$B$26)</f>
        <v>12.5</v>
      </c>
      <c r="J85" s="12">
        <f t="shared" si="6"/>
        <v>37500</v>
      </c>
      <c r="K85" t="str">
        <f t="shared" si="7"/>
        <v>Q4</v>
      </c>
      <c r="L85" s="1">
        <f>EOMONTH(Tbl_Forecast[[#This Row],[Date]],0)</f>
        <v>45657</v>
      </c>
    </row>
    <row r="86" spans="1:12" x14ac:dyDescent="0.3">
      <c r="A86" s="1">
        <v>45425</v>
      </c>
      <c r="B86" t="s">
        <v>5</v>
      </c>
      <c r="C86">
        <v>3880</v>
      </c>
      <c r="D86" s="3" cm="1">
        <f t="array" ref="D86">_xlfn.SWITCH(Assumptions!$B$2,"Base",Assumptions!$B$9,"Optimistic",Assumptions!$B$10,"Pessimistic",Assumptions!$B$11)</f>
        <v>0.05</v>
      </c>
      <c r="E86">
        <f>_xlfn.XLOOKUP(K86,Assumptions!$A$14:$A$17,Assumptions!$B$14:$B$17,0,0,1)</f>
        <v>1</v>
      </c>
      <c r="F86" s="5">
        <f t="shared" si="4"/>
        <v>4074</v>
      </c>
      <c r="G86" s="7">
        <f>Assumptions!$B$21</f>
        <v>3000</v>
      </c>
      <c r="H86" s="5">
        <f t="shared" si="5"/>
        <v>3000</v>
      </c>
      <c r="I86">
        <f>Tbl_RawData[[#This Row],[Unit_price]]*(1+Assumptions!$B$26)</f>
        <v>12</v>
      </c>
      <c r="J86" s="12">
        <f t="shared" si="6"/>
        <v>36000</v>
      </c>
      <c r="K86" t="str">
        <f t="shared" si="7"/>
        <v>Q2</v>
      </c>
      <c r="L86" s="1">
        <f>EOMONTH(Tbl_Forecast[[#This Row],[Date]],0)</f>
        <v>45443</v>
      </c>
    </row>
    <row r="87" spans="1:12" x14ac:dyDescent="0.3">
      <c r="A87" s="1">
        <v>45945</v>
      </c>
      <c r="B87" t="s">
        <v>5</v>
      </c>
      <c r="C87">
        <v>205</v>
      </c>
      <c r="D87" s="3" cm="1">
        <f t="array" ref="D87">_xlfn.SWITCH(Assumptions!$B$2,"Base",Assumptions!$B$9,"Optimistic",Assumptions!$B$10,"Pessimistic",Assumptions!$B$11)</f>
        <v>0.05</v>
      </c>
      <c r="E87">
        <f>_xlfn.XLOOKUP(K87,Assumptions!$A$14:$A$17,Assumptions!$B$14:$B$17,0,0,1)</f>
        <v>1.1499999999999999</v>
      </c>
      <c r="F87" s="5">
        <f t="shared" si="4"/>
        <v>247.53749999999999</v>
      </c>
      <c r="G87" s="7">
        <f>Assumptions!$B$21</f>
        <v>3000</v>
      </c>
      <c r="H87" s="5">
        <f t="shared" si="5"/>
        <v>247.53749999999999</v>
      </c>
      <c r="I87">
        <f>Tbl_RawData[[#This Row],[Unit_price]]*(1+Assumptions!$B$26)</f>
        <v>13.5</v>
      </c>
      <c r="J87" s="12">
        <f t="shared" si="6"/>
        <v>3341.7562499999999</v>
      </c>
      <c r="K87" t="str">
        <f t="shared" si="7"/>
        <v>Q4</v>
      </c>
      <c r="L87" s="1">
        <f>EOMONTH(Tbl_Forecast[[#This Row],[Date]],0)</f>
        <v>45961</v>
      </c>
    </row>
    <row r="88" spans="1:12" x14ac:dyDescent="0.3">
      <c r="A88" s="1">
        <v>45428</v>
      </c>
      <c r="B88" t="s">
        <v>4</v>
      </c>
      <c r="C88">
        <v>4242</v>
      </c>
      <c r="D88" s="3" cm="1">
        <f t="array" ref="D88">_xlfn.SWITCH(Assumptions!$B$2,"Base",Assumptions!$B$9,"Optimistic",Assumptions!$B$10,"Pessimistic",Assumptions!$B$11)</f>
        <v>0.05</v>
      </c>
      <c r="E88">
        <f>_xlfn.XLOOKUP(K88,Assumptions!$A$14:$A$17,Assumptions!$B$14:$B$17,0,0,1)</f>
        <v>1</v>
      </c>
      <c r="F88" s="5">
        <f t="shared" si="4"/>
        <v>4454.1000000000004</v>
      </c>
      <c r="G88" s="7">
        <f>Assumptions!$B$21</f>
        <v>3000</v>
      </c>
      <c r="H88" s="5">
        <f t="shared" si="5"/>
        <v>3000</v>
      </c>
      <c r="I88">
        <f>Tbl_RawData[[#This Row],[Unit_price]]*(1+Assumptions!$B$26)</f>
        <v>12</v>
      </c>
      <c r="J88" s="12">
        <f t="shared" si="6"/>
        <v>36000</v>
      </c>
      <c r="K88" t="str">
        <f t="shared" si="7"/>
        <v>Q2</v>
      </c>
      <c r="L88" s="1">
        <f>EOMONTH(Tbl_Forecast[[#This Row],[Date]],0)</f>
        <v>45443</v>
      </c>
    </row>
    <row r="89" spans="1:12" x14ac:dyDescent="0.3">
      <c r="A89" s="1">
        <v>45935</v>
      </c>
      <c r="B89" t="s">
        <v>5</v>
      </c>
      <c r="C89">
        <v>1309</v>
      </c>
      <c r="D89" s="3" cm="1">
        <f t="array" ref="D89">_xlfn.SWITCH(Assumptions!$B$2,"Base",Assumptions!$B$9,"Optimistic",Assumptions!$B$10,"Pessimistic",Assumptions!$B$11)</f>
        <v>0.05</v>
      </c>
      <c r="E89">
        <f>_xlfn.XLOOKUP(K89,Assumptions!$A$14:$A$17,Assumptions!$B$14:$B$17,0,0,1)</f>
        <v>1.1499999999999999</v>
      </c>
      <c r="F89" s="5">
        <f t="shared" si="4"/>
        <v>1580.6174999999998</v>
      </c>
      <c r="G89" s="7">
        <f>Assumptions!$B$21</f>
        <v>3000</v>
      </c>
      <c r="H89" s="5">
        <f t="shared" si="5"/>
        <v>1580.6174999999998</v>
      </c>
      <c r="I89">
        <f>Tbl_RawData[[#This Row],[Unit_price]]*(1+Assumptions!$B$26)</f>
        <v>13.5</v>
      </c>
      <c r="J89" s="12">
        <f t="shared" si="6"/>
        <v>21338.336249999997</v>
      </c>
      <c r="K89" t="str">
        <f t="shared" si="7"/>
        <v>Q4</v>
      </c>
      <c r="L89" s="1">
        <f>EOMONTH(Tbl_Forecast[[#This Row],[Date]],0)</f>
        <v>45961</v>
      </c>
    </row>
    <row r="90" spans="1:12" x14ac:dyDescent="0.3">
      <c r="A90" s="1">
        <v>45736</v>
      </c>
      <c r="B90" t="s">
        <v>6</v>
      </c>
      <c r="C90">
        <v>4981</v>
      </c>
      <c r="D90" s="3" cm="1">
        <f t="array" ref="D90">_xlfn.SWITCH(Assumptions!$B$2,"Base",Assumptions!$B$9,"Optimistic",Assumptions!$B$10,"Pessimistic",Assumptions!$B$11)</f>
        <v>0.05</v>
      </c>
      <c r="E90">
        <f>_xlfn.XLOOKUP(K90,Assumptions!$A$14:$A$17,Assumptions!$B$14:$B$17,0,0,1)</f>
        <v>0.95</v>
      </c>
      <c r="F90" s="5">
        <f t="shared" si="4"/>
        <v>4968.5474999999997</v>
      </c>
      <c r="G90" s="7">
        <f>Assumptions!$B$21</f>
        <v>3000</v>
      </c>
      <c r="H90" s="5">
        <f t="shared" si="5"/>
        <v>3000</v>
      </c>
      <c r="I90">
        <f>Tbl_RawData[[#This Row],[Unit_price]]*(1+Assumptions!$B$26)</f>
        <v>13</v>
      </c>
      <c r="J90" s="12">
        <f t="shared" si="6"/>
        <v>39000</v>
      </c>
      <c r="K90" t="str">
        <f t="shared" si="7"/>
        <v>Q1</v>
      </c>
      <c r="L90" s="1">
        <f>EOMONTH(Tbl_Forecast[[#This Row],[Date]],0)</f>
        <v>45747</v>
      </c>
    </row>
    <row r="91" spans="1:12" x14ac:dyDescent="0.3">
      <c r="A91" s="1">
        <v>45522</v>
      </c>
      <c r="B91" t="s">
        <v>4</v>
      </c>
      <c r="C91">
        <v>3519</v>
      </c>
      <c r="D91" s="3" cm="1">
        <f t="array" ref="D91">_xlfn.SWITCH(Assumptions!$B$2,"Base",Assumptions!$B$9,"Optimistic",Assumptions!$B$10,"Pessimistic",Assumptions!$B$11)</f>
        <v>0.05</v>
      </c>
      <c r="E91">
        <f>_xlfn.XLOOKUP(K91,Assumptions!$A$14:$A$17,Assumptions!$B$14:$B$17,0,0,1)</f>
        <v>1.1000000000000001</v>
      </c>
      <c r="F91" s="5">
        <f t="shared" si="4"/>
        <v>4064.4450000000006</v>
      </c>
      <c r="G91" s="7">
        <f>Assumptions!$B$21</f>
        <v>3000</v>
      </c>
      <c r="H91" s="5">
        <f t="shared" si="5"/>
        <v>3000</v>
      </c>
      <c r="I91">
        <f>Tbl_RawData[[#This Row],[Unit_price]]*(1+Assumptions!$B$26)</f>
        <v>12.5</v>
      </c>
      <c r="J91" s="12">
        <f t="shared" si="6"/>
        <v>37500</v>
      </c>
      <c r="K91" t="str">
        <f t="shared" si="7"/>
        <v>Q3</v>
      </c>
      <c r="L91" s="1">
        <f>EOMONTH(Tbl_Forecast[[#This Row],[Date]],0)</f>
        <v>45535</v>
      </c>
    </row>
    <row r="92" spans="1:12" x14ac:dyDescent="0.3">
      <c r="A92" s="1">
        <v>45723</v>
      </c>
      <c r="B92" t="s">
        <v>6</v>
      </c>
      <c r="C92">
        <v>4715</v>
      </c>
      <c r="D92" s="3" cm="1">
        <f t="array" ref="D92">_xlfn.SWITCH(Assumptions!$B$2,"Base",Assumptions!$B$9,"Optimistic",Assumptions!$B$10,"Pessimistic",Assumptions!$B$11)</f>
        <v>0.05</v>
      </c>
      <c r="E92">
        <f>_xlfn.XLOOKUP(K92,Assumptions!$A$14:$A$17,Assumptions!$B$14:$B$17,0,0,1)</f>
        <v>0.95</v>
      </c>
      <c r="F92" s="5">
        <f t="shared" si="4"/>
        <v>4703.2124999999996</v>
      </c>
      <c r="G92" s="7">
        <f>Assumptions!$B$21</f>
        <v>3000</v>
      </c>
      <c r="H92" s="5">
        <f t="shared" si="5"/>
        <v>3000</v>
      </c>
      <c r="I92">
        <f>Tbl_RawData[[#This Row],[Unit_price]]*(1+Assumptions!$B$26)</f>
        <v>13</v>
      </c>
      <c r="J92" s="12">
        <f t="shared" si="6"/>
        <v>39000</v>
      </c>
      <c r="K92" t="str">
        <f t="shared" si="7"/>
        <v>Q1</v>
      </c>
      <c r="L92" s="1">
        <f>EOMONTH(Tbl_Forecast[[#This Row],[Date]],0)</f>
        <v>45747</v>
      </c>
    </row>
    <row r="93" spans="1:12" x14ac:dyDescent="0.3">
      <c r="A93" s="1">
        <v>45326</v>
      </c>
      <c r="B93" t="s">
        <v>4</v>
      </c>
      <c r="C93">
        <v>3291</v>
      </c>
      <c r="D93" s="3" cm="1">
        <f t="array" ref="D93">_xlfn.SWITCH(Assumptions!$B$2,"Base",Assumptions!$B$9,"Optimistic",Assumptions!$B$10,"Pessimistic",Assumptions!$B$11)</f>
        <v>0.05</v>
      </c>
      <c r="E93">
        <f>_xlfn.XLOOKUP(K93,Assumptions!$A$14:$A$17,Assumptions!$B$14:$B$17,0,0,1)</f>
        <v>0.95</v>
      </c>
      <c r="F93" s="5">
        <f t="shared" si="4"/>
        <v>3282.7725</v>
      </c>
      <c r="G93" s="7">
        <f>Assumptions!$B$21</f>
        <v>3000</v>
      </c>
      <c r="H93" s="5">
        <f t="shared" si="5"/>
        <v>3000</v>
      </c>
      <c r="I93">
        <f>Tbl_RawData[[#This Row],[Unit_price]]*(1+Assumptions!$B$26)</f>
        <v>12</v>
      </c>
      <c r="J93" s="12">
        <f t="shared" si="6"/>
        <v>36000</v>
      </c>
      <c r="K93" t="str">
        <f t="shared" si="7"/>
        <v>Q1</v>
      </c>
      <c r="L93" s="1">
        <f>EOMONTH(Tbl_Forecast[[#This Row],[Date]],0)</f>
        <v>45351</v>
      </c>
    </row>
    <row r="94" spans="1:12" x14ac:dyDescent="0.3">
      <c r="A94" s="1">
        <v>45543</v>
      </c>
      <c r="B94" t="s">
        <v>4</v>
      </c>
      <c r="C94">
        <v>2753</v>
      </c>
      <c r="D94" s="3" cm="1">
        <f t="array" ref="D94">_xlfn.SWITCH(Assumptions!$B$2,"Base",Assumptions!$B$9,"Optimistic",Assumptions!$B$10,"Pessimistic",Assumptions!$B$11)</f>
        <v>0.05</v>
      </c>
      <c r="E94">
        <f>_xlfn.XLOOKUP(K94,Assumptions!$A$14:$A$17,Assumptions!$B$14:$B$17,0,0,1)</f>
        <v>1.1000000000000001</v>
      </c>
      <c r="F94" s="5">
        <f t="shared" si="4"/>
        <v>3179.7150000000001</v>
      </c>
      <c r="G94" s="7">
        <f>Assumptions!$B$21</f>
        <v>3000</v>
      </c>
      <c r="H94" s="5">
        <f t="shared" si="5"/>
        <v>3000</v>
      </c>
      <c r="I94">
        <f>Tbl_RawData[[#This Row],[Unit_price]]*(1+Assumptions!$B$26)</f>
        <v>12.5</v>
      </c>
      <c r="J94" s="12">
        <f t="shared" si="6"/>
        <v>37500</v>
      </c>
      <c r="K94" t="str">
        <f t="shared" si="7"/>
        <v>Q3</v>
      </c>
      <c r="L94" s="1">
        <f>EOMONTH(Tbl_Forecast[[#This Row],[Date]],0)</f>
        <v>45565</v>
      </c>
    </row>
    <row r="95" spans="1:12" x14ac:dyDescent="0.3">
      <c r="A95" s="1">
        <v>45803</v>
      </c>
      <c r="B95" t="s">
        <v>4</v>
      </c>
      <c r="C95">
        <v>2000</v>
      </c>
      <c r="D95" s="3" cm="1">
        <f t="array" ref="D95">_xlfn.SWITCH(Assumptions!$B$2,"Base",Assumptions!$B$9,"Optimistic",Assumptions!$B$10,"Pessimistic",Assumptions!$B$11)</f>
        <v>0.05</v>
      </c>
      <c r="E95">
        <f>_xlfn.XLOOKUP(K95,Assumptions!$A$14:$A$17,Assumptions!$B$14:$B$17,0,0,1)</f>
        <v>1</v>
      </c>
      <c r="F95" s="5">
        <f t="shared" si="4"/>
        <v>2100</v>
      </c>
      <c r="G95" s="7">
        <f>Assumptions!$B$21</f>
        <v>3000</v>
      </c>
      <c r="H95" s="5">
        <f t="shared" si="5"/>
        <v>2100</v>
      </c>
      <c r="I95">
        <f>Tbl_RawData[[#This Row],[Unit_price]]*(1+Assumptions!$B$26)</f>
        <v>13</v>
      </c>
      <c r="J95" s="12">
        <f t="shared" si="6"/>
        <v>27300</v>
      </c>
      <c r="K95" t="str">
        <f t="shared" si="7"/>
        <v>Q2</v>
      </c>
      <c r="L95" s="1">
        <f>EOMONTH(Tbl_Forecast[[#This Row],[Date]],0)</f>
        <v>45808</v>
      </c>
    </row>
    <row r="96" spans="1:12" x14ac:dyDescent="0.3">
      <c r="A96" s="1">
        <v>45862</v>
      </c>
      <c r="B96" t="s">
        <v>6</v>
      </c>
      <c r="C96">
        <v>4083</v>
      </c>
      <c r="D96" s="3" cm="1">
        <f t="array" ref="D96">_xlfn.SWITCH(Assumptions!$B$2,"Base",Assumptions!$B$9,"Optimistic",Assumptions!$B$10,"Pessimistic",Assumptions!$B$11)</f>
        <v>0.05</v>
      </c>
      <c r="E96">
        <f>_xlfn.XLOOKUP(K96,Assumptions!$A$14:$A$17,Assumptions!$B$14:$B$17,0,0,1)</f>
        <v>1.1000000000000001</v>
      </c>
      <c r="F96" s="5">
        <f t="shared" si="4"/>
        <v>4715.8650000000007</v>
      </c>
      <c r="G96" s="7">
        <f>Assumptions!$B$21</f>
        <v>3000</v>
      </c>
      <c r="H96" s="5">
        <f t="shared" si="5"/>
        <v>3000</v>
      </c>
      <c r="I96">
        <f>Tbl_RawData[[#This Row],[Unit_price]]*(1+Assumptions!$B$26)</f>
        <v>13.5</v>
      </c>
      <c r="J96" s="12">
        <f t="shared" si="6"/>
        <v>40500</v>
      </c>
      <c r="K96" t="str">
        <f t="shared" si="7"/>
        <v>Q3</v>
      </c>
      <c r="L96" s="1">
        <f>EOMONTH(Tbl_Forecast[[#This Row],[Date]],0)</f>
        <v>45869</v>
      </c>
    </row>
    <row r="97" spans="1:12" x14ac:dyDescent="0.3">
      <c r="A97" s="1">
        <v>45814</v>
      </c>
      <c r="B97" t="s">
        <v>5</v>
      </c>
      <c r="C97">
        <v>4847</v>
      </c>
      <c r="D97" s="3" cm="1">
        <f t="array" ref="D97">_xlfn.SWITCH(Assumptions!$B$2,"Base",Assumptions!$B$9,"Optimistic",Assumptions!$B$10,"Pessimistic",Assumptions!$B$11)</f>
        <v>0.05</v>
      </c>
      <c r="E97">
        <f>_xlfn.XLOOKUP(K97,Assumptions!$A$14:$A$17,Assumptions!$B$14:$B$17,0,0,1)</f>
        <v>1</v>
      </c>
      <c r="F97" s="5">
        <f t="shared" si="4"/>
        <v>5089.3500000000004</v>
      </c>
      <c r="G97" s="7">
        <f>Assumptions!$B$21</f>
        <v>3000</v>
      </c>
      <c r="H97" s="5">
        <f t="shared" si="5"/>
        <v>3000</v>
      </c>
      <c r="I97">
        <f>Tbl_RawData[[#This Row],[Unit_price]]*(1+Assumptions!$B$26)</f>
        <v>13</v>
      </c>
      <c r="J97" s="12">
        <f t="shared" si="6"/>
        <v>39000</v>
      </c>
      <c r="K97" t="str">
        <f t="shared" si="7"/>
        <v>Q2</v>
      </c>
      <c r="L97" s="1">
        <f>EOMONTH(Tbl_Forecast[[#This Row],[Date]],0)</f>
        <v>45838</v>
      </c>
    </row>
    <row r="98" spans="1:12" x14ac:dyDescent="0.3">
      <c r="A98" s="1">
        <v>45301</v>
      </c>
      <c r="B98" t="s">
        <v>6</v>
      </c>
      <c r="C98">
        <v>4524</v>
      </c>
      <c r="D98" s="3" cm="1">
        <f t="array" ref="D98">_xlfn.SWITCH(Assumptions!$B$2,"Base",Assumptions!$B$9,"Optimistic",Assumptions!$B$10,"Pessimistic",Assumptions!$B$11)</f>
        <v>0.05</v>
      </c>
      <c r="E98">
        <f>_xlfn.XLOOKUP(K98,Assumptions!$A$14:$A$17,Assumptions!$B$14:$B$17,0,0,1)</f>
        <v>0.95</v>
      </c>
      <c r="F98" s="5">
        <f t="shared" si="4"/>
        <v>4512.6899999999996</v>
      </c>
      <c r="G98" s="7">
        <f>Assumptions!$B$21</f>
        <v>3000</v>
      </c>
      <c r="H98" s="5">
        <f t="shared" si="5"/>
        <v>3000</v>
      </c>
      <c r="I98">
        <f>Tbl_RawData[[#This Row],[Unit_price]]*(1+Assumptions!$B$26)</f>
        <v>12</v>
      </c>
      <c r="J98" s="12">
        <f t="shared" si="6"/>
        <v>36000</v>
      </c>
      <c r="K98" t="str">
        <f t="shared" si="7"/>
        <v>Q1</v>
      </c>
      <c r="L98" s="1">
        <f>EOMONTH(Tbl_Forecast[[#This Row],[Date]],0)</f>
        <v>45322</v>
      </c>
    </row>
    <row r="99" spans="1:12" x14ac:dyDescent="0.3">
      <c r="A99" s="1">
        <v>45511</v>
      </c>
      <c r="B99" t="s">
        <v>6</v>
      </c>
      <c r="C99">
        <v>1363</v>
      </c>
      <c r="D99" s="3" cm="1">
        <f t="array" ref="D99">_xlfn.SWITCH(Assumptions!$B$2,"Base",Assumptions!$B$9,"Optimistic",Assumptions!$B$10,"Pessimistic",Assumptions!$B$11)</f>
        <v>0.05</v>
      </c>
      <c r="E99">
        <f>_xlfn.XLOOKUP(K99,Assumptions!$A$14:$A$17,Assumptions!$B$14:$B$17,0,0,1)</f>
        <v>1.1000000000000001</v>
      </c>
      <c r="F99" s="5">
        <f t="shared" si="4"/>
        <v>1574.2650000000003</v>
      </c>
      <c r="G99" s="7">
        <f>Assumptions!$B$21</f>
        <v>3000</v>
      </c>
      <c r="H99" s="5">
        <f t="shared" si="5"/>
        <v>1574.2650000000003</v>
      </c>
      <c r="I99">
        <f>Tbl_RawData[[#This Row],[Unit_price]]*(1+Assumptions!$B$26)</f>
        <v>12.5</v>
      </c>
      <c r="J99" s="12">
        <f t="shared" si="6"/>
        <v>19678.312500000004</v>
      </c>
      <c r="K99" t="str">
        <f t="shared" si="7"/>
        <v>Q3</v>
      </c>
      <c r="L99" s="1">
        <f>EOMONTH(Tbl_Forecast[[#This Row],[Date]],0)</f>
        <v>45535</v>
      </c>
    </row>
    <row r="100" spans="1:12" x14ac:dyDescent="0.3">
      <c r="A100" s="1">
        <v>45407</v>
      </c>
      <c r="B100" t="s">
        <v>6</v>
      </c>
      <c r="C100">
        <v>2737</v>
      </c>
      <c r="D100" s="3" cm="1">
        <f t="array" ref="D100">_xlfn.SWITCH(Assumptions!$B$2,"Base",Assumptions!$B$9,"Optimistic",Assumptions!$B$10,"Pessimistic",Assumptions!$B$11)</f>
        <v>0.05</v>
      </c>
      <c r="E100">
        <f>_xlfn.XLOOKUP(K100,Assumptions!$A$14:$A$17,Assumptions!$B$14:$B$17,0,0,1)</f>
        <v>1</v>
      </c>
      <c r="F100" s="5">
        <f t="shared" si="4"/>
        <v>2873.85</v>
      </c>
      <c r="G100" s="7">
        <f>Assumptions!$B$21</f>
        <v>3000</v>
      </c>
      <c r="H100" s="5">
        <f t="shared" si="5"/>
        <v>2873.85</v>
      </c>
      <c r="I100">
        <f>Tbl_RawData[[#This Row],[Unit_price]]*(1+Assumptions!$B$26)</f>
        <v>12</v>
      </c>
      <c r="J100" s="12">
        <f t="shared" si="6"/>
        <v>34486.199999999997</v>
      </c>
      <c r="K100" t="str">
        <f t="shared" si="7"/>
        <v>Q2</v>
      </c>
      <c r="L100" s="1">
        <f>EOMONTH(Tbl_Forecast[[#This Row],[Date]],0)</f>
        <v>45412</v>
      </c>
    </row>
    <row r="101" spans="1:12" x14ac:dyDescent="0.3">
      <c r="A101" s="1">
        <v>45665</v>
      </c>
      <c r="B101" t="s">
        <v>6</v>
      </c>
      <c r="C101">
        <v>3196</v>
      </c>
      <c r="D101" s="3" cm="1">
        <f t="array" ref="D101">_xlfn.SWITCH(Assumptions!$B$2,"Base",Assumptions!$B$9,"Optimistic",Assumptions!$B$10,"Pessimistic",Assumptions!$B$11)</f>
        <v>0.05</v>
      </c>
      <c r="E101">
        <f>_xlfn.XLOOKUP(K101,Assumptions!$A$14:$A$17,Assumptions!$B$14:$B$17,0,0,1)</f>
        <v>0.95</v>
      </c>
      <c r="F101" s="5">
        <f t="shared" si="4"/>
        <v>3188.01</v>
      </c>
      <c r="G101" s="7">
        <f>Assumptions!$B$21</f>
        <v>3000</v>
      </c>
      <c r="H101" s="5">
        <f t="shared" si="5"/>
        <v>3000</v>
      </c>
      <c r="I101">
        <f>Tbl_RawData[[#This Row],[Unit_price]]*(1+Assumptions!$B$26)</f>
        <v>13</v>
      </c>
      <c r="J101" s="12">
        <f t="shared" si="6"/>
        <v>39000</v>
      </c>
      <c r="K101" t="str">
        <f t="shared" si="7"/>
        <v>Q1</v>
      </c>
      <c r="L101" s="1">
        <f>EOMONTH(Tbl_Forecast[[#This Row],[Date]],0)</f>
        <v>45688</v>
      </c>
    </row>
    <row r="102" spans="1:12" x14ac:dyDescent="0.3">
      <c r="A102" s="1">
        <v>45975</v>
      </c>
      <c r="B102" t="s">
        <v>6</v>
      </c>
      <c r="C102">
        <v>4240</v>
      </c>
      <c r="D102" s="3" cm="1">
        <f t="array" ref="D102">_xlfn.SWITCH(Assumptions!$B$2,"Base",Assumptions!$B$9,"Optimistic",Assumptions!$B$10,"Pessimistic",Assumptions!$B$11)</f>
        <v>0.05</v>
      </c>
      <c r="E102">
        <f>_xlfn.XLOOKUP(K102,Assumptions!$A$14:$A$17,Assumptions!$B$14:$B$17,0,0,1)</f>
        <v>1.1499999999999999</v>
      </c>
      <c r="F102" s="5">
        <f t="shared" si="4"/>
        <v>5119.7999999999993</v>
      </c>
      <c r="G102" s="7">
        <f>Assumptions!$B$21</f>
        <v>3000</v>
      </c>
      <c r="H102" s="5">
        <f t="shared" si="5"/>
        <v>3000</v>
      </c>
      <c r="I102">
        <f>Tbl_RawData[[#This Row],[Unit_price]]*(1+Assumptions!$B$26)</f>
        <v>13.5</v>
      </c>
      <c r="J102" s="12">
        <f t="shared" si="6"/>
        <v>40500</v>
      </c>
      <c r="K102" t="str">
        <f t="shared" si="7"/>
        <v>Q4</v>
      </c>
      <c r="L102" s="1">
        <f>EOMONTH(Tbl_Forecast[[#This Row],[Date]],0)</f>
        <v>45991</v>
      </c>
    </row>
    <row r="103" spans="1:12" x14ac:dyDescent="0.3">
      <c r="A103" s="1">
        <v>45589</v>
      </c>
      <c r="B103" t="s">
        <v>5</v>
      </c>
      <c r="C103">
        <v>4273</v>
      </c>
      <c r="D103" s="3" cm="1">
        <f t="array" ref="D103">_xlfn.SWITCH(Assumptions!$B$2,"Base",Assumptions!$B$9,"Optimistic",Assumptions!$B$10,"Pessimistic",Assumptions!$B$11)</f>
        <v>0.05</v>
      </c>
      <c r="E103">
        <f>_xlfn.XLOOKUP(K103,Assumptions!$A$14:$A$17,Assumptions!$B$14:$B$17,0,0,1)</f>
        <v>1.1499999999999999</v>
      </c>
      <c r="F103" s="5">
        <f t="shared" si="4"/>
        <v>5159.6475</v>
      </c>
      <c r="G103" s="7">
        <f>Assumptions!$B$21</f>
        <v>3000</v>
      </c>
      <c r="H103" s="5">
        <f t="shared" si="5"/>
        <v>3000</v>
      </c>
      <c r="I103">
        <f>Tbl_RawData[[#This Row],[Unit_price]]*(1+Assumptions!$B$26)</f>
        <v>12.5</v>
      </c>
      <c r="J103" s="12">
        <f t="shared" si="6"/>
        <v>37500</v>
      </c>
      <c r="K103" t="str">
        <f t="shared" si="7"/>
        <v>Q4</v>
      </c>
      <c r="L103" s="1">
        <f>EOMONTH(Tbl_Forecast[[#This Row],[Date]],0)</f>
        <v>45596</v>
      </c>
    </row>
    <row r="104" spans="1:12" x14ac:dyDescent="0.3">
      <c r="A104" s="1">
        <v>45512</v>
      </c>
      <c r="B104" t="s">
        <v>6</v>
      </c>
      <c r="C104">
        <v>1193</v>
      </c>
      <c r="D104" s="3" cm="1">
        <f t="array" ref="D104">_xlfn.SWITCH(Assumptions!$B$2,"Base",Assumptions!$B$9,"Optimistic",Assumptions!$B$10,"Pessimistic",Assumptions!$B$11)</f>
        <v>0.05</v>
      </c>
      <c r="E104">
        <f>_xlfn.XLOOKUP(K104,Assumptions!$A$14:$A$17,Assumptions!$B$14:$B$17,0,0,1)</f>
        <v>1.1000000000000001</v>
      </c>
      <c r="F104" s="5">
        <f t="shared" si="4"/>
        <v>1377.9150000000002</v>
      </c>
      <c r="G104" s="7">
        <f>Assumptions!$B$21</f>
        <v>3000</v>
      </c>
      <c r="H104" s="5">
        <f t="shared" si="5"/>
        <v>1377.9150000000002</v>
      </c>
      <c r="I104">
        <f>Tbl_RawData[[#This Row],[Unit_price]]*(1+Assumptions!$B$26)</f>
        <v>12.5</v>
      </c>
      <c r="J104" s="12">
        <f t="shared" si="6"/>
        <v>17223.937500000004</v>
      </c>
      <c r="K104" t="str">
        <f t="shared" si="7"/>
        <v>Q3</v>
      </c>
      <c r="L104" s="1">
        <f>EOMONTH(Tbl_Forecast[[#This Row],[Date]],0)</f>
        <v>45535</v>
      </c>
    </row>
    <row r="105" spans="1:12" x14ac:dyDescent="0.3">
      <c r="A105" s="1">
        <v>45941</v>
      </c>
      <c r="B105" t="s">
        <v>4</v>
      </c>
      <c r="C105">
        <v>3878</v>
      </c>
      <c r="D105" s="3" cm="1">
        <f t="array" ref="D105">_xlfn.SWITCH(Assumptions!$B$2,"Base",Assumptions!$B$9,"Optimistic",Assumptions!$B$10,"Pessimistic",Assumptions!$B$11)</f>
        <v>0.05</v>
      </c>
      <c r="E105">
        <f>_xlfn.XLOOKUP(K105,Assumptions!$A$14:$A$17,Assumptions!$B$14:$B$17,0,0,1)</f>
        <v>1.1499999999999999</v>
      </c>
      <c r="F105" s="5">
        <f t="shared" si="4"/>
        <v>4682.6849999999995</v>
      </c>
      <c r="G105" s="7">
        <f>Assumptions!$B$21</f>
        <v>3000</v>
      </c>
      <c r="H105" s="5">
        <f t="shared" si="5"/>
        <v>3000</v>
      </c>
      <c r="I105">
        <f>Tbl_RawData[[#This Row],[Unit_price]]*(1+Assumptions!$B$26)</f>
        <v>13.5</v>
      </c>
      <c r="J105" s="12">
        <f t="shared" si="6"/>
        <v>40500</v>
      </c>
      <c r="K105" t="str">
        <f t="shared" si="7"/>
        <v>Q4</v>
      </c>
      <c r="L105" s="1">
        <f>EOMONTH(Tbl_Forecast[[#This Row],[Date]],0)</f>
        <v>45961</v>
      </c>
    </row>
    <row r="106" spans="1:12" x14ac:dyDescent="0.3">
      <c r="A106" s="1">
        <v>45425</v>
      </c>
      <c r="B106" t="s">
        <v>4</v>
      </c>
      <c r="C106">
        <v>3371</v>
      </c>
      <c r="D106" s="3" cm="1">
        <f t="array" ref="D106">_xlfn.SWITCH(Assumptions!$B$2,"Base",Assumptions!$B$9,"Optimistic",Assumptions!$B$10,"Pessimistic",Assumptions!$B$11)</f>
        <v>0.05</v>
      </c>
      <c r="E106">
        <f>_xlfn.XLOOKUP(K106,Assumptions!$A$14:$A$17,Assumptions!$B$14:$B$17,0,0,1)</f>
        <v>1</v>
      </c>
      <c r="F106" s="5">
        <f t="shared" si="4"/>
        <v>3539.55</v>
      </c>
      <c r="G106" s="7">
        <f>Assumptions!$B$21</f>
        <v>3000</v>
      </c>
      <c r="H106" s="5">
        <f t="shared" si="5"/>
        <v>3000</v>
      </c>
      <c r="I106">
        <f>Tbl_RawData[[#This Row],[Unit_price]]*(1+Assumptions!$B$26)</f>
        <v>12</v>
      </c>
      <c r="J106" s="12">
        <f t="shared" si="6"/>
        <v>36000</v>
      </c>
      <c r="K106" t="str">
        <f t="shared" si="7"/>
        <v>Q2</v>
      </c>
      <c r="L106" s="1">
        <f>EOMONTH(Tbl_Forecast[[#This Row],[Date]],0)</f>
        <v>45443</v>
      </c>
    </row>
    <row r="107" spans="1:12" x14ac:dyDescent="0.3">
      <c r="A107" s="1">
        <v>45753</v>
      </c>
      <c r="B107" t="s">
        <v>5</v>
      </c>
      <c r="C107">
        <v>1297</v>
      </c>
      <c r="D107" s="3" cm="1">
        <f t="array" ref="D107">_xlfn.SWITCH(Assumptions!$B$2,"Base",Assumptions!$B$9,"Optimistic",Assumptions!$B$10,"Pessimistic",Assumptions!$B$11)</f>
        <v>0.05</v>
      </c>
      <c r="E107">
        <f>_xlfn.XLOOKUP(K107,Assumptions!$A$14:$A$17,Assumptions!$B$14:$B$17,0,0,1)</f>
        <v>1</v>
      </c>
      <c r="F107" s="5">
        <f t="shared" si="4"/>
        <v>1361.8500000000001</v>
      </c>
      <c r="G107" s="7">
        <f>Assumptions!$B$21</f>
        <v>3000</v>
      </c>
      <c r="H107" s="5">
        <f t="shared" si="5"/>
        <v>1361.8500000000001</v>
      </c>
      <c r="I107">
        <f>Tbl_RawData[[#This Row],[Unit_price]]*(1+Assumptions!$B$26)</f>
        <v>13</v>
      </c>
      <c r="J107" s="12">
        <f t="shared" si="6"/>
        <v>17704.050000000003</v>
      </c>
      <c r="K107" t="str">
        <f t="shared" si="7"/>
        <v>Q2</v>
      </c>
      <c r="L107" s="1">
        <f>EOMONTH(Tbl_Forecast[[#This Row],[Date]],0)</f>
        <v>45777</v>
      </c>
    </row>
    <row r="108" spans="1:12" x14ac:dyDescent="0.3">
      <c r="A108" s="1">
        <v>45914</v>
      </c>
      <c r="B108" t="s">
        <v>5</v>
      </c>
      <c r="C108">
        <v>2421</v>
      </c>
      <c r="D108" s="3" cm="1">
        <f t="array" ref="D108">_xlfn.SWITCH(Assumptions!$B$2,"Base",Assumptions!$B$9,"Optimistic",Assumptions!$B$10,"Pessimistic",Assumptions!$B$11)</f>
        <v>0.05</v>
      </c>
      <c r="E108">
        <f>_xlfn.XLOOKUP(K108,Assumptions!$A$14:$A$17,Assumptions!$B$14:$B$17,0,0,1)</f>
        <v>1.1000000000000001</v>
      </c>
      <c r="F108" s="5">
        <f t="shared" si="4"/>
        <v>2796.2550000000006</v>
      </c>
      <c r="G108" s="7">
        <f>Assumptions!$B$21</f>
        <v>3000</v>
      </c>
      <c r="H108" s="5">
        <f t="shared" si="5"/>
        <v>2796.2550000000006</v>
      </c>
      <c r="I108">
        <f>Tbl_RawData[[#This Row],[Unit_price]]*(1+Assumptions!$B$26)</f>
        <v>13.5</v>
      </c>
      <c r="J108" s="12">
        <f t="shared" si="6"/>
        <v>37749.442500000005</v>
      </c>
      <c r="K108" t="str">
        <f t="shared" si="7"/>
        <v>Q3</v>
      </c>
      <c r="L108" s="1">
        <f>EOMONTH(Tbl_Forecast[[#This Row],[Date]],0)</f>
        <v>45930</v>
      </c>
    </row>
    <row r="109" spans="1:12" x14ac:dyDescent="0.3">
      <c r="A109" s="1">
        <v>45844</v>
      </c>
      <c r="B109" t="s">
        <v>5</v>
      </c>
      <c r="C109">
        <v>3275</v>
      </c>
      <c r="D109" s="3" cm="1">
        <f t="array" ref="D109">_xlfn.SWITCH(Assumptions!$B$2,"Base",Assumptions!$B$9,"Optimistic",Assumptions!$B$10,"Pessimistic",Assumptions!$B$11)</f>
        <v>0.05</v>
      </c>
      <c r="E109">
        <f>_xlfn.XLOOKUP(K109,Assumptions!$A$14:$A$17,Assumptions!$B$14:$B$17,0,0,1)</f>
        <v>1.1000000000000001</v>
      </c>
      <c r="F109" s="5">
        <f t="shared" si="4"/>
        <v>3782.6250000000005</v>
      </c>
      <c r="G109" s="7">
        <f>Assumptions!$B$21</f>
        <v>3000</v>
      </c>
      <c r="H109" s="5">
        <f t="shared" si="5"/>
        <v>3000</v>
      </c>
      <c r="I109">
        <f>Tbl_RawData[[#This Row],[Unit_price]]*(1+Assumptions!$B$26)</f>
        <v>13.5</v>
      </c>
      <c r="J109" s="12">
        <f t="shared" si="6"/>
        <v>40500</v>
      </c>
      <c r="K109" t="str">
        <f t="shared" si="7"/>
        <v>Q3</v>
      </c>
      <c r="L109" s="1">
        <f>EOMONTH(Tbl_Forecast[[#This Row],[Date]],0)</f>
        <v>45869</v>
      </c>
    </row>
    <row r="110" spans="1:12" x14ac:dyDescent="0.3">
      <c r="A110" s="1">
        <v>45849</v>
      </c>
      <c r="B110" t="s">
        <v>5</v>
      </c>
      <c r="C110">
        <v>915</v>
      </c>
      <c r="D110" s="3" cm="1">
        <f t="array" ref="D110">_xlfn.SWITCH(Assumptions!$B$2,"Base",Assumptions!$B$9,"Optimistic",Assumptions!$B$10,"Pessimistic",Assumptions!$B$11)</f>
        <v>0.05</v>
      </c>
      <c r="E110">
        <f>_xlfn.XLOOKUP(K110,Assumptions!$A$14:$A$17,Assumptions!$B$14:$B$17,0,0,1)</f>
        <v>1.1000000000000001</v>
      </c>
      <c r="F110" s="5">
        <f t="shared" si="4"/>
        <v>1056.825</v>
      </c>
      <c r="G110" s="7">
        <f>Assumptions!$B$21</f>
        <v>3000</v>
      </c>
      <c r="H110" s="5">
        <f t="shared" si="5"/>
        <v>1056.825</v>
      </c>
      <c r="I110">
        <f>Tbl_RawData[[#This Row],[Unit_price]]*(1+Assumptions!$B$26)</f>
        <v>13.5</v>
      </c>
      <c r="J110" s="12">
        <f t="shared" si="6"/>
        <v>14267.137500000001</v>
      </c>
      <c r="K110" t="str">
        <f t="shared" si="7"/>
        <v>Q3</v>
      </c>
      <c r="L110" s="1">
        <f>EOMONTH(Tbl_Forecast[[#This Row],[Date]],0)</f>
        <v>45869</v>
      </c>
    </row>
    <row r="111" spans="1:12" x14ac:dyDescent="0.3">
      <c r="A111" s="1">
        <v>45738</v>
      </c>
      <c r="B111" t="s">
        <v>4</v>
      </c>
      <c r="C111">
        <v>4369</v>
      </c>
      <c r="D111" s="3" cm="1">
        <f t="array" ref="D111">_xlfn.SWITCH(Assumptions!$B$2,"Base",Assumptions!$B$9,"Optimistic",Assumptions!$B$10,"Pessimistic",Assumptions!$B$11)</f>
        <v>0.05</v>
      </c>
      <c r="E111">
        <f>_xlfn.XLOOKUP(K111,Assumptions!$A$14:$A$17,Assumptions!$B$14:$B$17,0,0,1)</f>
        <v>0.95</v>
      </c>
      <c r="F111" s="5">
        <f t="shared" si="4"/>
        <v>4358.0774999999994</v>
      </c>
      <c r="G111" s="7">
        <f>Assumptions!$B$21</f>
        <v>3000</v>
      </c>
      <c r="H111" s="5">
        <f t="shared" si="5"/>
        <v>3000</v>
      </c>
      <c r="I111">
        <f>Tbl_RawData[[#This Row],[Unit_price]]*(1+Assumptions!$B$26)</f>
        <v>13</v>
      </c>
      <c r="J111" s="12">
        <f t="shared" si="6"/>
        <v>39000</v>
      </c>
      <c r="K111" t="str">
        <f t="shared" si="7"/>
        <v>Q1</v>
      </c>
      <c r="L111" s="1">
        <f>EOMONTH(Tbl_Forecast[[#This Row],[Date]],0)</f>
        <v>45747</v>
      </c>
    </row>
    <row r="112" spans="1:12" x14ac:dyDescent="0.3">
      <c r="A112" s="1">
        <v>45928</v>
      </c>
      <c r="B112" t="s">
        <v>6</v>
      </c>
      <c r="C112">
        <v>4894</v>
      </c>
      <c r="D112" s="3" cm="1">
        <f t="array" ref="D112">_xlfn.SWITCH(Assumptions!$B$2,"Base",Assumptions!$B$9,"Optimistic",Assumptions!$B$10,"Pessimistic",Assumptions!$B$11)</f>
        <v>0.05</v>
      </c>
      <c r="E112">
        <f>_xlfn.XLOOKUP(K112,Assumptions!$A$14:$A$17,Assumptions!$B$14:$B$17,0,0,1)</f>
        <v>1.1000000000000001</v>
      </c>
      <c r="F112" s="5">
        <f t="shared" si="4"/>
        <v>5652.5700000000006</v>
      </c>
      <c r="G112" s="7">
        <f>Assumptions!$B$21</f>
        <v>3000</v>
      </c>
      <c r="H112" s="5">
        <f t="shared" si="5"/>
        <v>3000</v>
      </c>
      <c r="I112">
        <f>Tbl_RawData[[#This Row],[Unit_price]]*(1+Assumptions!$B$26)</f>
        <v>13.5</v>
      </c>
      <c r="J112" s="12">
        <f t="shared" si="6"/>
        <v>40500</v>
      </c>
      <c r="K112" t="str">
        <f t="shared" si="7"/>
        <v>Q3</v>
      </c>
      <c r="L112" s="1">
        <f>EOMONTH(Tbl_Forecast[[#This Row],[Date]],0)</f>
        <v>45930</v>
      </c>
    </row>
    <row r="113" spans="1:12" x14ac:dyDescent="0.3">
      <c r="A113" s="1">
        <v>45488</v>
      </c>
      <c r="B113" t="s">
        <v>6</v>
      </c>
      <c r="C113">
        <v>4061</v>
      </c>
      <c r="D113" s="3" cm="1">
        <f t="array" ref="D113">_xlfn.SWITCH(Assumptions!$B$2,"Base",Assumptions!$B$9,"Optimistic",Assumptions!$B$10,"Pessimistic",Assumptions!$B$11)</f>
        <v>0.05</v>
      </c>
      <c r="E113">
        <f>_xlfn.XLOOKUP(K113,Assumptions!$A$14:$A$17,Assumptions!$B$14:$B$17,0,0,1)</f>
        <v>1.1000000000000001</v>
      </c>
      <c r="F113" s="5">
        <f t="shared" si="4"/>
        <v>4690.4550000000008</v>
      </c>
      <c r="G113" s="7">
        <f>Assumptions!$B$21</f>
        <v>3000</v>
      </c>
      <c r="H113" s="5">
        <f t="shared" si="5"/>
        <v>3000</v>
      </c>
      <c r="I113">
        <f>Tbl_RawData[[#This Row],[Unit_price]]*(1+Assumptions!$B$26)</f>
        <v>12.5</v>
      </c>
      <c r="J113" s="12">
        <f t="shared" si="6"/>
        <v>37500</v>
      </c>
      <c r="K113" t="str">
        <f t="shared" si="7"/>
        <v>Q3</v>
      </c>
      <c r="L113" s="1">
        <f>EOMONTH(Tbl_Forecast[[#This Row],[Date]],0)</f>
        <v>45504</v>
      </c>
    </row>
    <row r="114" spans="1:12" x14ac:dyDescent="0.3">
      <c r="A114" s="1">
        <v>45502</v>
      </c>
      <c r="B114" t="s">
        <v>4</v>
      </c>
      <c r="C114">
        <v>1557</v>
      </c>
      <c r="D114" s="3" cm="1">
        <f t="array" ref="D114">_xlfn.SWITCH(Assumptions!$B$2,"Base",Assumptions!$B$9,"Optimistic",Assumptions!$B$10,"Pessimistic",Assumptions!$B$11)</f>
        <v>0.05</v>
      </c>
      <c r="E114">
        <f>_xlfn.XLOOKUP(K114,Assumptions!$A$14:$A$17,Assumptions!$B$14:$B$17,0,0,1)</f>
        <v>1.1000000000000001</v>
      </c>
      <c r="F114" s="5">
        <f t="shared" si="4"/>
        <v>1798.3350000000003</v>
      </c>
      <c r="G114" s="7">
        <f>Assumptions!$B$21</f>
        <v>3000</v>
      </c>
      <c r="H114" s="5">
        <f t="shared" si="5"/>
        <v>1798.3350000000003</v>
      </c>
      <c r="I114">
        <f>Tbl_RawData[[#This Row],[Unit_price]]*(1+Assumptions!$B$26)</f>
        <v>12.5</v>
      </c>
      <c r="J114" s="12">
        <f t="shared" si="6"/>
        <v>22479.187500000004</v>
      </c>
      <c r="K114" t="str">
        <f t="shared" si="7"/>
        <v>Q3</v>
      </c>
      <c r="L114" s="1">
        <f>EOMONTH(Tbl_Forecast[[#This Row],[Date]],0)</f>
        <v>45504</v>
      </c>
    </row>
    <row r="115" spans="1:12" x14ac:dyDescent="0.3">
      <c r="A115" s="1">
        <v>45774</v>
      </c>
      <c r="B115" t="s">
        <v>6</v>
      </c>
      <c r="C115">
        <v>640</v>
      </c>
      <c r="D115" s="3" cm="1">
        <f t="array" ref="D115">_xlfn.SWITCH(Assumptions!$B$2,"Base",Assumptions!$B$9,"Optimistic",Assumptions!$B$10,"Pessimistic",Assumptions!$B$11)</f>
        <v>0.05</v>
      </c>
      <c r="E115">
        <f>_xlfn.XLOOKUP(K115,Assumptions!$A$14:$A$17,Assumptions!$B$14:$B$17,0,0,1)</f>
        <v>1</v>
      </c>
      <c r="F115" s="5">
        <f t="shared" si="4"/>
        <v>672</v>
      </c>
      <c r="G115" s="7">
        <f>Assumptions!$B$21</f>
        <v>3000</v>
      </c>
      <c r="H115" s="5">
        <f t="shared" si="5"/>
        <v>672</v>
      </c>
      <c r="I115">
        <f>Tbl_RawData[[#This Row],[Unit_price]]*(1+Assumptions!$B$26)</f>
        <v>13</v>
      </c>
      <c r="J115" s="12">
        <f t="shared" si="6"/>
        <v>8736</v>
      </c>
      <c r="K115" t="str">
        <f t="shared" si="7"/>
        <v>Q2</v>
      </c>
      <c r="L115" s="1">
        <f>EOMONTH(Tbl_Forecast[[#This Row],[Date]],0)</f>
        <v>45777</v>
      </c>
    </row>
    <row r="116" spans="1:12" x14ac:dyDescent="0.3">
      <c r="A116" s="1">
        <v>45801</v>
      </c>
      <c r="B116" t="s">
        <v>5</v>
      </c>
      <c r="C116">
        <v>1948</v>
      </c>
      <c r="D116" s="3" cm="1">
        <f t="array" ref="D116">_xlfn.SWITCH(Assumptions!$B$2,"Base",Assumptions!$B$9,"Optimistic",Assumptions!$B$10,"Pessimistic",Assumptions!$B$11)</f>
        <v>0.05</v>
      </c>
      <c r="E116">
        <f>_xlfn.XLOOKUP(K116,Assumptions!$A$14:$A$17,Assumptions!$B$14:$B$17,0,0,1)</f>
        <v>1</v>
      </c>
      <c r="F116" s="5">
        <f t="shared" si="4"/>
        <v>2045.4</v>
      </c>
      <c r="G116" s="7">
        <f>Assumptions!$B$21</f>
        <v>3000</v>
      </c>
      <c r="H116" s="5">
        <f t="shared" si="5"/>
        <v>2045.4</v>
      </c>
      <c r="I116">
        <f>Tbl_RawData[[#This Row],[Unit_price]]*(1+Assumptions!$B$26)</f>
        <v>13</v>
      </c>
      <c r="J116" s="12">
        <f t="shared" si="6"/>
        <v>26590.2</v>
      </c>
      <c r="K116" t="str">
        <f t="shared" si="7"/>
        <v>Q2</v>
      </c>
      <c r="L116" s="1">
        <f>EOMONTH(Tbl_Forecast[[#This Row],[Date]],0)</f>
        <v>45808</v>
      </c>
    </row>
    <row r="117" spans="1:12" x14ac:dyDescent="0.3">
      <c r="A117" s="1">
        <v>45986</v>
      </c>
      <c r="B117" t="s">
        <v>4</v>
      </c>
      <c r="C117">
        <v>3766</v>
      </c>
      <c r="D117" s="3" cm="1">
        <f t="array" ref="D117">_xlfn.SWITCH(Assumptions!$B$2,"Base",Assumptions!$B$9,"Optimistic",Assumptions!$B$10,"Pessimistic",Assumptions!$B$11)</f>
        <v>0.05</v>
      </c>
      <c r="E117">
        <f>_xlfn.XLOOKUP(K117,Assumptions!$A$14:$A$17,Assumptions!$B$14:$B$17,0,0,1)</f>
        <v>1.1499999999999999</v>
      </c>
      <c r="F117" s="5">
        <f t="shared" si="4"/>
        <v>4547.4449999999997</v>
      </c>
      <c r="G117" s="7">
        <f>Assumptions!$B$21</f>
        <v>3000</v>
      </c>
      <c r="H117" s="5">
        <f t="shared" si="5"/>
        <v>3000</v>
      </c>
      <c r="I117">
        <f>Tbl_RawData[[#This Row],[Unit_price]]*(1+Assumptions!$B$26)</f>
        <v>13.5</v>
      </c>
      <c r="J117" s="12">
        <f t="shared" si="6"/>
        <v>40500</v>
      </c>
      <c r="K117" t="str">
        <f t="shared" si="7"/>
        <v>Q4</v>
      </c>
      <c r="L117" s="1">
        <f>EOMONTH(Tbl_Forecast[[#This Row],[Date]],0)</f>
        <v>45991</v>
      </c>
    </row>
    <row r="118" spans="1:12" x14ac:dyDescent="0.3">
      <c r="A118" s="1">
        <v>45927</v>
      </c>
      <c r="B118" t="s">
        <v>6</v>
      </c>
      <c r="C118">
        <v>4959</v>
      </c>
      <c r="D118" s="3" cm="1">
        <f t="array" ref="D118">_xlfn.SWITCH(Assumptions!$B$2,"Base",Assumptions!$B$9,"Optimistic",Assumptions!$B$10,"Pessimistic",Assumptions!$B$11)</f>
        <v>0.05</v>
      </c>
      <c r="E118">
        <f>_xlfn.XLOOKUP(K118,Assumptions!$A$14:$A$17,Assumptions!$B$14:$B$17,0,0,1)</f>
        <v>1.1000000000000001</v>
      </c>
      <c r="F118" s="5">
        <f t="shared" si="4"/>
        <v>5727.6450000000004</v>
      </c>
      <c r="G118" s="7">
        <f>Assumptions!$B$21</f>
        <v>3000</v>
      </c>
      <c r="H118" s="5">
        <f t="shared" si="5"/>
        <v>3000</v>
      </c>
      <c r="I118">
        <f>Tbl_RawData[[#This Row],[Unit_price]]*(1+Assumptions!$B$26)</f>
        <v>13.5</v>
      </c>
      <c r="J118" s="12">
        <f t="shared" si="6"/>
        <v>40500</v>
      </c>
      <c r="K118" t="str">
        <f t="shared" si="7"/>
        <v>Q3</v>
      </c>
      <c r="L118" s="1">
        <f>EOMONTH(Tbl_Forecast[[#This Row],[Date]],0)</f>
        <v>45930</v>
      </c>
    </row>
    <row r="119" spans="1:12" x14ac:dyDescent="0.3">
      <c r="A119" s="1">
        <v>45326</v>
      </c>
      <c r="B119" t="s">
        <v>4</v>
      </c>
      <c r="C119">
        <v>2786</v>
      </c>
      <c r="D119" s="3" cm="1">
        <f t="array" ref="D119">_xlfn.SWITCH(Assumptions!$B$2,"Base",Assumptions!$B$9,"Optimistic",Assumptions!$B$10,"Pessimistic",Assumptions!$B$11)</f>
        <v>0.05</v>
      </c>
      <c r="E119">
        <f>_xlfn.XLOOKUP(K119,Assumptions!$A$14:$A$17,Assumptions!$B$14:$B$17,0,0,1)</f>
        <v>0.95</v>
      </c>
      <c r="F119" s="5">
        <f t="shared" si="4"/>
        <v>2779.0349999999999</v>
      </c>
      <c r="G119" s="7">
        <f>Assumptions!$B$21</f>
        <v>3000</v>
      </c>
      <c r="H119" s="5">
        <f t="shared" si="5"/>
        <v>2779.0349999999999</v>
      </c>
      <c r="I119">
        <f>Tbl_RawData[[#This Row],[Unit_price]]*(1+Assumptions!$B$26)</f>
        <v>12</v>
      </c>
      <c r="J119" s="12">
        <f t="shared" si="6"/>
        <v>33348.42</v>
      </c>
      <c r="K119" t="str">
        <f t="shared" si="7"/>
        <v>Q1</v>
      </c>
      <c r="L119" s="1">
        <f>EOMONTH(Tbl_Forecast[[#This Row],[Date]],0)</f>
        <v>45351</v>
      </c>
    </row>
    <row r="120" spans="1:12" x14ac:dyDescent="0.3">
      <c r="A120" s="1">
        <v>46017</v>
      </c>
      <c r="B120" t="s">
        <v>4</v>
      </c>
      <c r="C120">
        <v>3278</v>
      </c>
      <c r="D120" s="3" cm="1">
        <f t="array" ref="D120">_xlfn.SWITCH(Assumptions!$B$2,"Base",Assumptions!$B$9,"Optimistic",Assumptions!$B$10,"Pessimistic",Assumptions!$B$11)</f>
        <v>0.05</v>
      </c>
      <c r="E120">
        <f>_xlfn.XLOOKUP(K120,Assumptions!$A$14:$A$17,Assumptions!$B$14:$B$17,0,0,1)</f>
        <v>1.1499999999999999</v>
      </c>
      <c r="F120" s="5">
        <f t="shared" si="4"/>
        <v>3958.1849999999999</v>
      </c>
      <c r="G120" s="7">
        <f>Assumptions!$B$21</f>
        <v>3000</v>
      </c>
      <c r="H120" s="5">
        <f t="shared" si="5"/>
        <v>3000</v>
      </c>
      <c r="I120">
        <f>Tbl_RawData[[#This Row],[Unit_price]]*(1+Assumptions!$B$26)</f>
        <v>13.5</v>
      </c>
      <c r="J120" s="12">
        <f t="shared" si="6"/>
        <v>40500</v>
      </c>
      <c r="K120" t="str">
        <f t="shared" si="7"/>
        <v>Q4</v>
      </c>
      <c r="L120" s="1">
        <f>EOMONTH(Tbl_Forecast[[#This Row],[Date]],0)</f>
        <v>46022</v>
      </c>
    </row>
    <row r="121" spans="1:12" x14ac:dyDescent="0.3">
      <c r="A121" s="1">
        <v>45965</v>
      </c>
      <c r="B121" t="s">
        <v>5</v>
      </c>
      <c r="C121">
        <v>3012</v>
      </c>
      <c r="D121" s="3" cm="1">
        <f t="array" ref="D121">_xlfn.SWITCH(Assumptions!$B$2,"Base",Assumptions!$B$9,"Optimistic",Assumptions!$B$10,"Pessimistic",Assumptions!$B$11)</f>
        <v>0.05</v>
      </c>
      <c r="E121">
        <f>_xlfn.XLOOKUP(K121,Assumptions!$A$14:$A$17,Assumptions!$B$14:$B$17,0,0,1)</f>
        <v>1.1499999999999999</v>
      </c>
      <c r="F121" s="5">
        <f t="shared" si="4"/>
        <v>3636.99</v>
      </c>
      <c r="G121" s="7">
        <f>Assumptions!$B$21</f>
        <v>3000</v>
      </c>
      <c r="H121" s="5">
        <f t="shared" si="5"/>
        <v>3000</v>
      </c>
      <c r="I121">
        <f>Tbl_RawData[[#This Row],[Unit_price]]*(1+Assumptions!$B$26)</f>
        <v>13.5</v>
      </c>
      <c r="J121" s="12">
        <f t="shared" si="6"/>
        <v>40500</v>
      </c>
      <c r="K121" t="str">
        <f t="shared" si="7"/>
        <v>Q4</v>
      </c>
      <c r="L121" s="1">
        <f>EOMONTH(Tbl_Forecast[[#This Row],[Date]],0)</f>
        <v>45991</v>
      </c>
    </row>
    <row r="122" spans="1:12" x14ac:dyDescent="0.3">
      <c r="A122" s="1">
        <v>45458</v>
      </c>
      <c r="B122" t="s">
        <v>5</v>
      </c>
      <c r="C122">
        <v>641</v>
      </c>
      <c r="D122" s="3" cm="1">
        <f t="array" ref="D122">_xlfn.SWITCH(Assumptions!$B$2,"Base",Assumptions!$B$9,"Optimistic",Assumptions!$B$10,"Pessimistic",Assumptions!$B$11)</f>
        <v>0.05</v>
      </c>
      <c r="E122">
        <f>_xlfn.XLOOKUP(K122,Assumptions!$A$14:$A$17,Assumptions!$B$14:$B$17,0,0,1)</f>
        <v>1</v>
      </c>
      <c r="F122" s="5">
        <f t="shared" si="4"/>
        <v>673.05000000000007</v>
      </c>
      <c r="G122" s="7">
        <f>Assumptions!$B$21</f>
        <v>3000</v>
      </c>
      <c r="H122" s="5">
        <f t="shared" si="5"/>
        <v>673.05000000000007</v>
      </c>
      <c r="I122">
        <f>Tbl_RawData[[#This Row],[Unit_price]]*(1+Assumptions!$B$26)</f>
        <v>12</v>
      </c>
      <c r="J122" s="12">
        <f t="shared" si="6"/>
        <v>8076.6</v>
      </c>
      <c r="K122" t="str">
        <f t="shared" si="7"/>
        <v>Q2</v>
      </c>
      <c r="L122" s="1">
        <f>EOMONTH(Tbl_Forecast[[#This Row],[Date]],0)</f>
        <v>45473</v>
      </c>
    </row>
    <row r="123" spans="1:12" x14ac:dyDescent="0.3">
      <c r="A123" s="1">
        <v>45481</v>
      </c>
      <c r="B123" t="s">
        <v>6</v>
      </c>
      <c r="C123">
        <v>4346</v>
      </c>
      <c r="D123" s="3" cm="1">
        <f t="array" ref="D123">_xlfn.SWITCH(Assumptions!$B$2,"Base",Assumptions!$B$9,"Optimistic",Assumptions!$B$10,"Pessimistic",Assumptions!$B$11)</f>
        <v>0.05</v>
      </c>
      <c r="E123">
        <f>_xlfn.XLOOKUP(K123,Assumptions!$A$14:$A$17,Assumptions!$B$14:$B$17,0,0,1)</f>
        <v>1.1000000000000001</v>
      </c>
      <c r="F123" s="5">
        <f t="shared" si="4"/>
        <v>5019.630000000001</v>
      </c>
      <c r="G123" s="7">
        <f>Assumptions!$B$21</f>
        <v>3000</v>
      </c>
      <c r="H123" s="5">
        <f t="shared" si="5"/>
        <v>3000</v>
      </c>
      <c r="I123">
        <f>Tbl_RawData[[#This Row],[Unit_price]]*(1+Assumptions!$B$26)</f>
        <v>12.5</v>
      </c>
      <c r="J123" s="12">
        <f t="shared" si="6"/>
        <v>37500</v>
      </c>
      <c r="K123" t="str">
        <f t="shared" si="7"/>
        <v>Q3</v>
      </c>
      <c r="L123" s="1">
        <f>EOMONTH(Tbl_Forecast[[#This Row],[Date]],0)</f>
        <v>45504</v>
      </c>
    </row>
    <row r="124" spans="1:12" x14ac:dyDescent="0.3">
      <c r="A124" s="1">
        <v>45335</v>
      </c>
      <c r="B124" t="s">
        <v>5</v>
      </c>
      <c r="C124">
        <v>1914</v>
      </c>
      <c r="D124" s="3" cm="1">
        <f t="array" ref="D124">_xlfn.SWITCH(Assumptions!$B$2,"Base",Assumptions!$B$9,"Optimistic",Assumptions!$B$10,"Pessimistic",Assumptions!$B$11)</f>
        <v>0.05</v>
      </c>
      <c r="E124">
        <f>_xlfn.XLOOKUP(K124,Assumptions!$A$14:$A$17,Assumptions!$B$14:$B$17,0,0,1)</f>
        <v>0.95</v>
      </c>
      <c r="F124" s="5">
        <f t="shared" si="4"/>
        <v>1909.2149999999999</v>
      </c>
      <c r="G124" s="7">
        <f>Assumptions!$B$21</f>
        <v>3000</v>
      </c>
      <c r="H124" s="5">
        <f t="shared" si="5"/>
        <v>1909.2149999999999</v>
      </c>
      <c r="I124">
        <f>Tbl_RawData[[#This Row],[Unit_price]]*(1+Assumptions!$B$26)</f>
        <v>12</v>
      </c>
      <c r="J124" s="12">
        <f t="shared" si="6"/>
        <v>22910.579999999998</v>
      </c>
      <c r="K124" t="str">
        <f t="shared" si="7"/>
        <v>Q1</v>
      </c>
      <c r="L124" s="1">
        <f>EOMONTH(Tbl_Forecast[[#This Row],[Date]],0)</f>
        <v>45351</v>
      </c>
    </row>
    <row r="125" spans="1:12" x14ac:dyDescent="0.3">
      <c r="A125" s="1">
        <v>45723</v>
      </c>
      <c r="B125" t="s">
        <v>6</v>
      </c>
      <c r="C125">
        <v>720</v>
      </c>
      <c r="D125" s="3" cm="1">
        <f t="array" ref="D125">_xlfn.SWITCH(Assumptions!$B$2,"Base",Assumptions!$B$9,"Optimistic",Assumptions!$B$10,"Pessimistic",Assumptions!$B$11)</f>
        <v>0.05</v>
      </c>
      <c r="E125">
        <f>_xlfn.XLOOKUP(K125,Assumptions!$A$14:$A$17,Assumptions!$B$14:$B$17,0,0,1)</f>
        <v>0.95</v>
      </c>
      <c r="F125" s="5">
        <f t="shared" si="4"/>
        <v>718.19999999999993</v>
      </c>
      <c r="G125" s="7">
        <f>Assumptions!$B$21</f>
        <v>3000</v>
      </c>
      <c r="H125" s="5">
        <f t="shared" si="5"/>
        <v>718.19999999999993</v>
      </c>
      <c r="I125">
        <f>Tbl_RawData[[#This Row],[Unit_price]]*(1+Assumptions!$B$26)</f>
        <v>13</v>
      </c>
      <c r="J125" s="12">
        <f t="shared" si="6"/>
        <v>9336.5999999999985</v>
      </c>
      <c r="K125" t="str">
        <f t="shared" si="7"/>
        <v>Q1</v>
      </c>
      <c r="L125" s="1">
        <f>EOMONTH(Tbl_Forecast[[#This Row],[Date]],0)</f>
        <v>45747</v>
      </c>
    </row>
    <row r="126" spans="1:12" x14ac:dyDescent="0.3">
      <c r="A126" s="1">
        <v>45641</v>
      </c>
      <c r="B126" t="s">
        <v>4</v>
      </c>
      <c r="C126">
        <v>851</v>
      </c>
      <c r="D126" s="3" cm="1">
        <f t="array" ref="D126">_xlfn.SWITCH(Assumptions!$B$2,"Base",Assumptions!$B$9,"Optimistic",Assumptions!$B$10,"Pessimistic",Assumptions!$B$11)</f>
        <v>0.05</v>
      </c>
      <c r="E126">
        <f>_xlfn.XLOOKUP(K126,Assumptions!$A$14:$A$17,Assumptions!$B$14:$B$17,0,0,1)</f>
        <v>1.1499999999999999</v>
      </c>
      <c r="F126" s="5">
        <f t="shared" si="4"/>
        <v>1027.5825</v>
      </c>
      <c r="G126" s="7">
        <f>Assumptions!$B$21</f>
        <v>3000</v>
      </c>
      <c r="H126" s="5">
        <f t="shared" si="5"/>
        <v>1027.5825</v>
      </c>
      <c r="I126">
        <f>Tbl_RawData[[#This Row],[Unit_price]]*(1+Assumptions!$B$26)</f>
        <v>12.5</v>
      </c>
      <c r="J126" s="12">
        <f t="shared" si="6"/>
        <v>12844.78125</v>
      </c>
      <c r="K126" t="str">
        <f t="shared" si="7"/>
        <v>Q4</v>
      </c>
      <c r="L126" s="1">
        <f>EOMONTH(Tbl_Forecast[[#This Row],[Date]],0)</f>
        <v>45657</v>
      </c>
    </row>
    <row r="127" spans="1:12" x14ac:dyDescent="0.3">
      <c r="A127" s="1">
        <v>45444</v>
      </c>
      <c r="B127" t="s">
        <v>6</v>
      </c>
      <c r="C127">
        <v>3862</v>
      </c>
      <c r="D127" s="3" cm="1">
        <f t="array" ref="D127">_xlfn.SWITCH(Assumptions!$B$2,"Base",Assumptions!$B$9,"Optimistic",Assumptions!$B$10,"Pessimistic",Assumptions!$B$11)</f>
        <v>0.05</v>
      </c>
      <c r="E127">
        <f>_xlfn.XLOOKUP(K127,Assumptions!$A$14:$A$17,Assumptions!$B$14:$B$17,0,0,1)</f>
        <v>1</v>
      </c>
      <c r="F127" s="5">
        <f t="shared" si="4"/>
        <v>4055.1000000000004</v>
      </c>
      <c r="G127" s="7">
        <f>Assumptions!$B$21</f>
        <v>3000</v>
      </c>
      <c r="H127" s="5">
        <f t="shared" si="5"/>
        <v>3000</v>
      </c>
      <c r="I127">
        <f>Tbl_RawData[[#This Row],[Unit_price]]*(1+Assumptions!$B$26)</f>
        <v>12</v>
      </c>
      <c r="J127" s="12">
        <f t="shared" si="6"/>
        <v>36000</v>
      </c>
      <c r="K127" t="str">
        <f t="shared" si="7"/>
        <v>Q2</v>
      </c>
      <c r="L127" s="1">
        <f>EOMONTH(Tbl_Forecast[[#This Row],[Date]],0)</f>
        <v>45473</v>
      </c>
    </row>
    <row r="128" spans="1:12" x14ac:dyDescent="0.3">
      <c r="A128" s="1">
        <v>45654</v>
      </c>
      <c r="B128" t="s">
        <v>5</v>
      </c>
      <c r="C128">
        <v>3441</v>
      </c>
      <c r="D128" s="3" cm="1">
        <f t="array" ref="D128">_xlfn.SWITCH(Assumptions!$B$2,"Base",Assumptions!$B$9,"Optimistic",Assumptions!$B$10,"Pessimistic",Assumptions!$B$11)</f>
        <v>0.05</v>
      </c>
      <c r="E128">
        <f>_xlfn.XLOOKUP(K128,Assumptions!$A$14:$A$17,Assumptions!$B$14:$B$17,0,0,1)</f>
        <v>1.1499999999999999</v>
      </c>
      <c r="F128" s="5">
        <f t="shared" si="4"/>
        <v>4155.0074999999997</v>
      </c>
      <c r="G128" s="7">
        <f>Assumptions!$B$21</f>
        <v>3000</v>
      </c>
      <c r="H128" s="5">
        <f t="shared" si="5"/>
        <v>3000</v>
      </c>
      <c r="I128">
        <f>Tbl_RawData[[#This Row],[Unit_price]]*(1+Assumptions!$B$26)</f>
        <v>12.5</v>
      </c>
      <c r="J128" s="12">
        <f t="shared" si="6"/>
        <v>37500</v>
      </c>
      <c r="K128" t="str">
        <f t="shared" si="7"/>
        <v>Q4</v>
      </c>
      <c r="L128" s="1">
        <f>EOMONTH(Tbl_Forecast[[#This Row],[Date]],0)</f>
        <v>45657</v>
      </c>
    </row>
    <row r="129" spans="1:12" x14ac:dyDescent="0.3">
      <c r="A129" s="1">
        <v>46006</v>
      </c>
      <c r="B129" t="s">
        <v>6</v>
      </c>
      <c r="C129">
        <v>1583</v>
      </c>
      <c r="D129" s="3" cm="1">
        <f t="array" ref="D129">_xlfn.SWITCH(Assumptions!$B$2,"Base",Assumptions!$B$9,"Optimistic",Assumptions!$B$10,"Pessimistic",Assumptions!$B$11)</f>
        <v>0.05</v>
      </c>
      <c r="E129">
        <f>_xlfn.XLOOKUP(K129,Assumptions!$A$14:$A$17,Assumptions!$B$14:$B$17,0,0,1)</f>
        <v>1.1499999999999999</v>
      </c>
      <c r="F129" s="5">
        <f t="shared" si="4"/>
        <v>1911.4724999999999</v>
      </c>
      <c r="G129" s="7">
        <f>Assumptions!$B$21</f>
        <v>3000</v>
      </c>
      <c r="H129" s="5">
        <f t="shared" si="5"/>
        <v>1911.4724999999999</v>
      </c>
      <c r="I129">
        <f>Tbl_RawData[[#This Row],[Unit_price]]*(1+Assumptions!$B$26)</f>
        <v>13.5</v>
      </c>
      <c r="J129" s="12">
        <f t="shared" si="6"/>
        <v>25804.878749999996</v>
      </c>
      <c r="K129" t="str">
        <f t="shared" si="7"/>
        <v>Q4</v>
      </c>
      <c r="L129" s="1">
        <f>EOMONTH(Tbl_Forecast[[#This Row],[Date]],0)</f>
        <v>46022</v>
      </c>
    </row>
    <row r="130" spans="1:12" x14ac:dyDescent="0.3">
      <c r="A130" s="1">
        <v>45302</v>
      </c>
      <c r="B130" t="s">
        <v>5</v>
      </c>
      <c r="C130">
        <v>2070</v>
      </c>
      <c r="D130" s="3" cm="1">
        <f t="array" ref="D130">_xlfn.SWITCH(Assumptions!$B$2,"Base",Assumptions!$B$9,"Optimistic",Assumptions!$B$10,"Pessimistic",Assumptions!$B$11)</f>
        <v>0.05</v>
      </c>
      <c r="E130">
        <f>_xlfn.XLOOKUP(K130,Assumptions!$A$14:$A$17,Assumptions!$B$14:$B$17,0,0,1)</f>
        <v>0.95</v>
      </c>
      <c r="F130" s="5">
        <f t="shared" si="4"/>
        <v>2064.8249999999998</v>
      </c>
      <c r="G130" s="7">
        <f>Assumptions!$B$21</f>
        <v>3000</v>
      </c>
      <c r="H130" s="5">
        <f t="shared" si="5"/>
        <v>2064.8249999999998</v>
      </c>
      <c r="I130">
        <f>Tbl_RawData[[#This Row],[Unit_price]]*(1+Assumptions!$B$26)</f>
        <v>12</v>
      </c>
      <c r="J130" s="12">
        <f t="shared" si="6"/>
        <v>24777.899999999998</v>
      </c>
      <c r="K130" t="str">
        <f t="shared" si="7"/>
        <v>Q1</v>
      </c>
      <c r="L130" s="1">
        <f>EOMONTH(Tbl_Forecast[[#This Row],[Date]],0)</f>
        <v>45322</v>
      </c>
    </row>
    <row r="131" spans="1:12" x14ac:dyDescent="0.3">
      <c r="A131" s="1">
        <v>45860</v>
      </c>
      <c r="B131" t="s">
        <v>4</v>
      </c>
      <c r="C131">
        <v>4473</v>
      </c>
      <c r="D131" s="3" cm="1">
        <f t="array" ref="D131">_xlfn.SWITCH(Assumptions!$B$2,"Base",Assumptions!$B$9,"Optimistic",Assumptions!$B$10,"Pessimistic",Assumptions!$B$11)</f>
        <v>0.05</v>
      </c>
      <c r="E131">
        <f>_xlfn.XLOOKUP(K131,Assumptions!$A$14:$A$17,Assumptions!$B$14:$B$17,0,0,1)</f>
        <v>1.1000000000000001</v>
      </c>
      <c r="F131" s="5">
        <f t="shared" ref="F131:F194" si="8">C131*(1+D131)*E131</f>
        <v>5166.3150000000014</v>
      </c>
      <c r="G131" s="7">
        <f>Assumptions!$B$21</f>
        <v>3000</v>
      </c>
      <c r="H131" s="5">
        <f t="shared" ref="H131:H194" si="9">MIN(F131,G131)</f>
        <v>3000</v>
      </c>
      <c r="I131">
        <f>Tbl_RawData[[#This Row],[Unit_price]]*(1+Assumptions!$B$26)</f>
        <v>13.5</v>
      </c>
      <c r="J131" s="12">
        <f t="shared" ref="J131:J194" si="10">H131*I131</f>
        <v>40500</v>
      </c>
      <c r="K131" t="str">
        <f t="shared" ref="K131:K194" si="11">"Q"&amp;ROUNDUP(MONTH(A131)/3,0)</f>
        <v>Q3</v>
      </c>
      <c r="L131" s="1">
        <f>EOMONTH(Tbl_Forecast[[#This Row],[Date]],0)</f>
        <v>45869</v>
      </c>
    </row>
    <row r="132" spans="1:12" x14ac:dyDescent="0.3">
      <c r="A132" s="1">
        <v>45929</v>
      </c>
      <c r="B132" t="s">
        <v>5</v>
      </c>
      <c r="C132">
        <v>1726</v>
      </c>
      <c r="D132" s="3" cm="1">
        <f t="array" ref="D132">_xlfn.SWITCH(Assumptions!$B$2,"Base",Assumptions!$B$9,"Optimistic",Assumptions!$B$10,"Pessimistic",Assumptions!$B$11)</f>
        <v>0.05</v>
      </c>
      <c r="E132">
        <f>_xlfn.XLOOKUP(K132,Assumptions!$A$14:$A$17,Assumptions!$B$14:$B$17,0,0,1)</f>
        <v>1.1000000000000001</v>
      </c>
      <c r="F132" s="5">
        <f t="shared" si="8"/>
        <v>1993.5300000000004</v>
      </c>
      <c r="G132" s="7">
        <f>Assumptions!$B$21</f>
        <v>3000</v>
      </c>
      <c r="H132" s="5">
        <f t="shared" si="9"/>
        <v>1993.5300000000004</v>
      </c>
      <c r="I132">
        <f>Tbl_RawData[[#This Row],[Unit_price]]*(1+Assumptions!$B$26)</f>
        <v>13.5</v>
      </c>
      <c r="J132" s="12">
        <f t="shared" si="10"/>
        <v>26912.655000000006</v>
      </c>
      <c r="K132" t="str">
        <f t="shared" si="11"/>
        <v>Q3</v>
      </c>
      <c r="L132" s="1">
        <f>EOMONTH(Tbl_Forecast[[#This Row],[Date]],0)</f>
        <v>45930</v>
      </c>
    </row>
    <row r="133" spans="1:12" x14ac:dyDescent="0.3">
      <c r="A133" s="1">
        <v>45869</v>
      </c>
      <c r="B133" t="s">
        <v>5</v>
      </c>
      <c r="C133">
        <v>2584</v>
      </c>
      <c r="D133" s="3" cm="1">
        <f t="array" ref="D133">_xlfn.SWITCH(Assumptions!$B$2,"Base",Assumptions!$B$9,"Optimistic",Assumptions!$B$10,"Pessimistic",Assumptions!$B$11)</f>
        <v>0.05</v>
      </c>
      <c r="E133">
        <f>_xlfn.XLOOKUP(K133,Assumptions!$A$14:$A$17,Assumptions!$B$14:$B$17,0,0,1)</f>
        <v>1.1000000000000001</v>
      </c>
      <c r="F133" s="5">
        <f t="shared" si="8"/>
        <v>2984.5200000000004</v>
      </c>
      <c r="G133" s="7">
        <f>Assumptions!$B$21</f>
        <v>3000</v>
      </c>
      <c r="H133" s="5">
        <f t="shared" si="9"/>
        <v>2984.5200000000004</v>
      </c>
      <c r="I133">
        <f>Tbl_RawData[[#This Row],[Unit_price]]*(1+Assumptions!$B$26)</f>
        <v>13.5</v>
      </c>
      <c r="J133" s="12">
        <f t="shared" si="10"/>
        <v>40291.020000000004</v>
      </c>
      <c r="K133" t="str">
        <f t="shared" si="11"/>
        <v>Q3</v>
      </c>
      <c r="L133" s="1">
        <f>EOMONTH(Tbl_Forecast[[#This Row],[Date]],0)</f>
        <v>45869</v>
      </c>
    </row>
    <row r="134" spans="1:12" x14ac:dyDescent="0.3">
      <c r="A134" s="1">
        <v>45474</v>
      </c>
      <c r="B134" t="s">
        <v>5</v>
      </c>
      <c r="C134">
        <v>4344</v>
      </c>
      <c r="D134" s="3" cm="1">
        <f t="array" ref="D134">_xlfn.SWITCH(Assumptions!$B$2,"Base",Assumptions!$B$9,"Optimistic",Assumptions!$B$10,"Pessimistic",Assumptions!$B$11)</f>
        <v>0.05</v>
      </c>
      <c r="E134">
        <f>_xlfn.XLOOKUP(K134,Assumptions!$A$14:$A$17,Assumptions!$B$14:$B$17,0,0,1)</f>
        <v>1.1000000000000001</v>
      </c>
      <c r="F134" s="5">
        <f t="shared" si="8"/>
        <v>5017.3200000000006</v>
      </c>
      <c r="G134" s="7">
        <f>Assumptions!$B$21</f>
        <v>3000</v>
      </c>
      <c r="H134" s="5">
        <f t="shared" si="9"/>
        <v>3000</v>
      </c>
      <c r="I134">
        <f>Tbl_RawData[[#This Row],[Unit_price]]*(1+Assumptions!$B$26)</f>
        <v>12.5</v>
      </c>
      <c r="J134" s="12">
        <f t="shared" si="10"/>
        <v>37500</v>
      </c>
      <c r="K134" t="str">
        <f t="shared" si="11"/>
        <v>Q3</v>
      </c>
      <c r="L134" s="1">
        <f>EOMONTH(Tbl_Forecast[[#This Row],[Date]],0)</f>
        <v>45504</v>
      </c>
    </row>
    <row r="135" spans="1:12" x14ac:dyDescent="0.3">
      <c r="A135" s="1">
        <v>45838</v>
      </c>
      <c r="B135" t="s">
        <v>6</v>
      </c>
      <c r="C135">
        <v>4581</v>
      </c>
      <c r="D135" s="3" cm="1">
        <f t="array" ref="D135">_xlfn.SWITCH(Assumptions!$B$2,"Base",Assumptions!$B$9,"Optimistic",Assumptions!$B$10,"Pessimistic",Assumptions!$B$11)</f>
        <v>0.05</v>
      </c>
      <c r="E135">
        <f>_xlfn.XLOOKUP(K135,Assumptions!$A$14:$A$17,Assumptions!$B$14:$B$17,0,0,1)</f>
        <v>1</v>
      </c>
      <c r="F135" s="5">
        <f t="shared" si="8"/>
        <v>4810.05</v>
      </c>
      <c r="G135" s="7">
        <f>Assumptions!$B$21</f>
        <v>3000</v>
      </c>
      <c r="H135" s="5">
        <f t="shared" si="9"/>
        <v>3000</v>
      </c>
      <c r="I135">
        <f>Tbl_RawData[[#This Row],[Unit_price]]*(1+Assumptions!$B$26)</f>
        <v>13</v>
      </c>
      <c r="J135" s="12">
        <f t="shared" si="10"/>
        <v>39000</v>
      </c>
      <c r="K135" t="str">
        <f t="shared" si="11"/>
        <v>Q2</v>
      </c>
      <c r="L135" s="1">
        <f>EOMONTH(Tbl_Forecast[[#This Row],[Date]],0)</f>
        <v>45838</v>
      </c>
    </row>
    <row r="136" spans="1:12" x14ac:dyDescent="0.3">
      <c r="A136" s="1">
        <v>45307</v>
      </c>
      <c r="B136" t="s">
        <v>4</v>
      </c>
      <c r="C136">
        <v>2947</v>
      </c>
      <c r="D136" s="3" cm="1">
        <f t="array" ref="D136">_xlfn.SWITCH(Assumptions!$B$2,"Base",Assumptions!$B$9,"Optimistic",Assumptions!$B$10,"Pessimistic",Assumptions!$B$11)</f>
        <v>0.05</v>
      </c>
      <c r="E136">
        <f>_xlfn.XLOOKUP(K136,Assumptions!$A$14:$A$17,Assumptions!$B$14:$B$17,0,0,1)</f>
        <v>0.95</v>
      </c>
      <c r="F136" s="5">
        <f t="shared" si="8"/>
        <v>2939.6324999999997</v>
      </c>
      <c r="G136" s="7">
        <f>Assumptions!$B$21</f>
        <v>3000</v>
      </c>
      <c r="H136" s="5">
        <f t="shared" si="9"/>
        <v>2939.6324999999997</v>
      </c>
      <c r="I136">
        <f>Tbl_RawData[[#This Row],[Unit_price]]*(1+Assumptions!$B$26)</f>
        <v>12</v>
      </c>
      <c r="J136" s="12">
        <f t="shared" si="10"/>
        <v>35275.589999999997</v>
      </c>
      <c r="K136" t="str">
        <f t="shared" si="11"/>
        <v>Q1</v>
      </c>
      <c r="L136" s="1">
        <f>EOMONTH(Tbl_Forecast[[#This Row],[Date]],0)</f>
        <v>45322</v>
      </c>
    </row>
    <row r="137" spans="1:12" x14ac:dyDescent="0.3">
      <c r="A137" s="1">
        <v>45595</v>
      </c>
      <c r="B137" t="s">
        <v>6</v>
      </c>
      <c r="C137">
        <v>421</v>
      </c>
      <c r="D137" s="3" cm="1">
        <f t="array" ref="D137">_xlfn.SWITCH(Assumptions!$B$2,"Base",Assumptions!$B$9,"Optimistic",Assumptions!$B$10,"Pessimistic",Assumptions!$B$11)</f>
        <v>0.05</v>
      </c>
      <c r="E137">
        <f>_xlfn.XLOOKUP(K137,Assumptions!$A$14:$A$17,Assumptions!$B$14:$B$17,0,0,1)</f>
        <v>1.1499999999999999</v>
      </c>
      <c r="F137" s="5">
        <f t="shared" si="8"/>
        <v>508.35749999999996</v>
      </c>
      <c r="G137" s="7">
        <f>Assumptions!$B$21</f>
        <v>3000</v>
      </c>
      <c r="H137" s="5">
        <f t="shared" si="9"/>
        <v>508.35749999999996</v>
      </c>
      <c r="I137">
        <f>Tbl_RawData[[#This Row],[Unit_price]]*(1+Assumptions!$B$26)</f>
        <v>12.5</v>
      </c>
      <c r="J137" s="12">
        <f t="shared" si="10"/>
        <v>6354.4687499999991</v>
      </c>
      <c r="K137" t="str">
        <f t="shared" si="11"/>
        <v>Q4</v>
      </c>
      <c r="L137" s="1">
        <f>EOMONTH(Tbl_Forecast[[#This Row],[Date]],0)</f>
        <v>45596</v>
      </c>
    </row>
    <row r="138" spans="1:12" x14ac:dyDescent="0.3">
      <c r="A138" s="1">
        <v>45911</v>
      </c>
      <c r="B138" t="s">
        <v>5</v>
      </c>
      <c r="C138">
        <v>367</v>
      </c>
      <c r="D138" s="3" cm="1">
        <f t="array" ref="D138">_xlfn.SWITCH(Assumptions!$B$2,"Base",Assumptions!$B$9,"Optimistic",Assumptions!$B$10,"Pessimistic",Assumptions!$B$11)</f>
        <v>0.05</v>
      </c>
      <c r="E138">
        <f>_xlfn.XLOOKUP(K138,Assumptions!$A$14:$A$17,Assumptions!$B$14:$B$17,0,0,1)</f>
        <v>1.1000000000000001</v>
      </c>
      <c r="F138" s="5">
        <f t="shared" si="8"/>
        <v>423.88500000000005</v>
      </c>
      <c r="G138" s="7">
        <f>Assumptions!$B$21</f>
        <v>3000</v>
      </c>
      <c r="H138" s="5">
        <f t="shared" si="9"/>
        <v>423.88500000000005</v>
      </c>
      <c r="I138">
        <f>Tbl_RawData[[#This Row],[Unit_price]]*(1+Assumptions!$B$26)</f>
        <v>13.5</v>
      </c>
      <c r="J138" s="12">
        <f t="shared" si="10"/>
        <v>5722.4475000000002</v>
      </c>
      <c r="K138" t="str">
        <f t="shared" si="11"/>
        <v>Q3</v>
      </c>
      <c r="L138" s="1">
        <f>EOMONTH(Tbl_Forecast[[#This Row],[Date]],0)</f>
        <v>45930</v>
      </c>
    </row>
    <row r="139" spans="1:12" x14ac:dyDescent="0.3">
      <c r="A139" s="1">
        <v>45961</v>
      </c>
      <c r="B139" t="s">
        <v>6</v>
      </c>
      <c r="C139">
        <v>3087</v>
      </c>
      <c r="D139" s="3" cm="1">
        <f t="array" ref="D139">_xlfn.SWITCH(Assumptions!$B$2,"Base",Assumptions!$B$9,"Optimistic",Assumptions!$B$10,"Pessimistic",Assumptions!$B$11)</f>
        <v>0.05</v>
      </c>
      <c r="E139">
        <f>_xlfn.XLOOKUP(K139,Assumptions!$A$14:$A$17,Assumptions!$B$14:$B$17,0,0,1)</f>
        <v>1.1499999999999999</v>
      </c>
      <c r="F139" s="5">
        <f t="shared" si="8"/>
        <v>3727.5525000000002</v>
      </c>
      <c r="G139" s="7">
        <f>Assumptions!$B$21</f>
        <v>3000</v>
      </c>
      <c r="H139" s="5">
        <f t="shared" si="9"/>
        <v>3000</v>
      </c>
      <c r="I139">
        <f>Tbl_RawData[[#This Row],[Unit_price]]*(1+Assumptions!$B$26)</f>
        <v>13.5</v>
      </c>
      <c r="J139" s="12">
        <f t="shared" si="10"/>
        <v>40500</v>
      </c>
      <c r="K139" t="str">
        <f t="shared" si="11"/>
        <v>Q4</v>
      </c>
      <c r="L139" s="1">
        <f>EOMONTH(Tbl_Forecast[[#This Row],[Date]],0)</f>
        <v>45961</v>
      </c>
    </row>
    <row r="140" spans="1:12" x14ac:dyDescent="0.3">
      <c r="A140" s="1">
        <v>45757</v>
      </c>
      <c r="B140" t="s">
        <v>5</v>
      </c>
      <c r="C140">
        <v>336</v>
      </c>
      <c r="D140" s="3" cm="1">
        <f t="array" ref="D140">_xlfn.SWITCH(Assumptions!$B$2,"Base",Assumptions!$B$9,"Optimistic",Assumptions!$B$10,"Pessimistic",Assumptions!$B$11)</f>
        <v>0.05</v>
      </c>
      <c r="E140">
        <f>_xlfn.XLOOKUP(K140,Assumptions!$A$14:$A$17,Assumptions!$B$14:$B$17,0,0,1)</f>
        <v>1</v>
      </c>
      <c r="F140" s="5">
        <f t="shared" si="8"/>
        <v>352.8</v>
      </c>
      <c r="G140" s="7">
        <f>Assumptions!$B$21</f>
        <v>3000</v>
      </c>
      <c r="H140" s="5">
        <f t="shared" si="9"/>
        <v>352.8</v>
      </c>
      <c r="I140">
        <f>Tbl_RawData[[#This Row],[Unit_price]]*(1+Assumptions!$B$26)</f>
        <v>13</v>
      </c>
      <c r="J140" s="12">
        <f t="shared" si="10"/>
        <v>4586.4000000000005</v>
      </c>
      <c r="K140" t="str">
        <f t="shared" si="11"/>
        <v>Q2</v>
      </c>
      <c r="L140" s="1">
        <f>EOMONTH(Tbl_Forecast[[#This Row],[Date]],0)</f>
        <v>45777</v>
      </c>
    </row>
    <row r="141" spans="1:12" x14ac:dyDescent="0.3">
      <c r="A141" s="1">
        <v>45406</v>
      </c>
      <c r="B141" t="s">
        <v>5</v>
      </c>
      <c r="C141">
        <v>1317</v>
      </c>
      <c r="D141" s="3" cm="1">
        <f t="array" ref="D141">_xlfn.SWITCH(Assumptions!$B$2,"Base",Assumptions!$B$9,"Optimistic",Assumptions!$B$10,"Pessimistic",Assumptions!$B$11)</f>
        <v>0.05</v>
      </c>
      <c r="E141">
        <f>_xlfn.XLOOKUP(K141,Assumptions!$A$14:$A$17,Assumptions!$B$14:$B$17,0,0,1)</f>
        <v>1</v>
      </c>
      <c r="F141" s="5">
        <f t="shared" si="8"/>
        <v>1382.8500000000001</v>
      </c>
      <c r="G141" s="7">
        <f>Assumptions!$B$21</f>
        <v>3000</v>
      </c>
      <c r="H141" s="5">
        <f t="shared" si="9"/>
        <v>1382.8500000000001</v>
      </c>
      <c r="I141">
        <f>Tbl_RawData[[#This Row],[Unit_price]]*(1+Assumptions!$B$26)</f>
        <v>12</v>
      </c>
      <c r="J141" s="12">
        <f t="shared" si="10"/>
        <v>16594.2</v>
      </c>
      <c r="K141" t="str">
        <f t="shared" si="11"/>
        <v>Q2</v>
      </c>
      <c r="L141" s="1">
        <f>EOMONTH(Tbl_Forecast[[#This Row],[Date]],0)</f>
        <v>45412</v>
      </c>
    </row>
    <row r="142" spans="1:12" x14ac:dyDescent="0.3">
      <c r="A142" s="1">
        <v>46000</v>
      </c>
      <c r="B142" t="s">
        <v>4</v>
      </c>
      <c r="C142">
        <v>1320</v>
      </c>
      <c r="D142" s="3" cm="1">
        <f t="array" ref="D142">_xlfn.SWITCH(Assumptions!$B$2,"Base",Assumptions!$B$9,"Optimistic",Assumptions!$B$10,"Pessimistic",Assumptions!$B$11)</f>
        <v>0.05</v>
      </c>
      <c r="E142">
        <f>_xlfn.XLOOKUP(K142,Assumptions!$A$14:$A$17,Assumptions!$B$14:$B$17,0,0,1)</f>
        <v>1.1499999999999999</v>
      </c>
      <c r="F142" s="5">
        <f t="shared" si="8"/>
        <v>1593.8999999999999</v>
      </c>
      <c r="G142" s="7">
        <f>Assumptions!$B$21</f>
        <v>3000</v>
      </c>
      <c r="H142" s="5">
        <f t="shared" si="9"/>
        <v>1593.8999999999999</v>
      </c>
      <c r="I142">
        <f>Tbl_RawData[[#This Row],[Unit_price]]*(1+Assumptions!$B$26)</f>
        <v>13.5</v>
      </c>
      <c r="J142" s="12">
        <f t="shared" si="10"/>
        <v>21517.649999999998</v>
      </c>
      <c r="K142" t="str">
        <f t="shared" si="11"/>
        <v>Q4</v>
      </c>
      <c r="L142" s="1">
        <f>EOMONTH(Tbl_Forecast[[#This Row],[Date]],0)</f>
        <v>46022</v>
      </c>
    </row>
    <row r="143" spans="1:12" x14ac:dyDescent="0.3">
      <c r="A143" s="1">
        <v>45906</v>
      </c>
      <c r="B143" t="s">
        <v>4</v>
      </c>
      <c r="C143">
        <v>3499</v>
      </c>
      <c r="D143" s="3" cm="1">
        <f t="array" ref="D143">_xlfn.SWITCH(Assumptions!$B$2,"Base",Assumptions!$B$9,"Optimistic",Assumptions!$B$10,"Pessimistic",Assumptions!$B$11)</f>
        <v>0.05</v>
      </c>
      <c r="E143">
        <f>_xlfn.XLOOKUP(K143,Assumptions!$A$14:$A$17,Assumptions!$B$14:$B$17,0,0,1)</f>
        <v>1.1000000000000001</v>
      </c>
      <c r="F143" s="5">
        <f t="shared" si="8"/>
        <v>4041.3450000000007</v>
      </c>
      <c r="G143" s="7">
        <f>Assumptions!$B$21</f>
        <v>3000</v>
      </c>
      <c r="H143" s="5">
        <f t="shared" si="9"/>
        <v>3000</v>
      </c>
      <c r="I143">
        <f>Tbl_RawData[[#This Row],[Unit_price]]*(1+Assumptions!$B$26)</f>
        <v>13.5</v>
      </c>
      <c r="J143" s="12">
        <f t="shared" si="10"/>
        <v>40500</v>
      </c>
      <c r="K143" t="str">
        <f t="shared" si="11"/>
        <v>Q3</v>
      </c>
      <c r="L143" s="1">
        <f>EOMONTH(Tbl_Forecast[[#This Row],[Date]],0)</f>
        <v>45930</v>
      </c>
    </row>
    <row r="144" spans="1:12" x14ac:dyDescent="0.3">
      <c r="A144" s="1">
        <v>45724</v>
      </c>
      <c r="B144" t="s">
        <v>4</v>
      </c>
      <c r="C144">
        <v>4472</v>
      </c>
      <c r="D144" s="3" cm="1">
        <f t="array" ref="D144">_xlfn.SWITCH(Assumptions!$B$2,"Base",Assumptions!$B$9,"Optimistic",Assumptions!$B$10,"Pessimistic",Assumptions!$B$11)</f>
        <v>0.05</v>
      </c>
      <c r="E144">
        <f>_xlfn.XLOOKUP(K144,Assumptions!$A$14:$A$17,Assumptions!$B$14:$B$17,0,0,1)</f>
        <v>0.95</v>
      </c>
      <c r="F144" s="5">
        <f t="shared" si="8"/>
        <v>4460.82</v>
      </c>
      <c r="G144" s="7">
        <f>Assumptions!$B$21</f>
        <v>3000</v>
      </c>
      <c r="H144" s="5">
        <f t="shared" si="9"/>
        <v>3000</v>
      </c>
      <c r="I144">
        <f>Tbl_RawData[[#This Row],[Unit_price]]*(1+Assumptions!$B$26)</f>
        <v>13</v>
      </c>
      <c r="J144" s="12">
        <f t="shared" si="10"/>
        <v>39000</v>
      </c>
      <c r="K144" t="str">
        <f t="shared" si="11"/>
        <v>Q1</v>
      </c>
      <c r="L144" s="1">
        <f>EOMONTH(Tbl_Forecast[[#This Row],[Date]],0)</f>
        <v>45747</v>
      </c>
    </row>
    <row r="145" spans="1:12" x14ac:dyDescent="0.3">
      <c r="A145" s="1">
        <v>45596</v>
      </c>
      <c r="B145" t="s">
        <v>5</v>
      </c>
      <c r="C145">
        <v>4784</v>
      </c>
      <c r="D145" s="3" cm="1">
        <f t="array" ref="D145">_xlfn.SWITCH(Assumptions!$B$2,"Base",Assumptions!$B$9,"Optimistic",Assumptions!$B$10,"Pessimistic",Assumptions!$B$11)</f>
        <v>0.05</v>
      </c>
      <c r="E145">
        <f>_xlfn.XLOOKUP(K145,Assumptions!$A$14:$A$17,Assumptions!$B$14:$B$17,0,0,1)</f>
        <v>1.1499999999999999</v>
      </c>
      <c r="F145" s="5">
        <f t="shared" si="8"/>
        <v>5776.6799999999994</v>
      </c>
      <c r="G145" s="7">
        <f>Assumptions!$B$21</f>
        <v>3000</v>
      </c>
      <c r="H145" s="5">
        <f t="shared" si="9"/>
        <v>3000</v>
      </c>
      <c r="I145">
        <f>Tbl_RawData[[#This Row],[Unit_price]]*(1+Assumptions!$B$26)</f>
        <v>12.5</v>
      </c>
      <c r="J145" s="12">
        <f t="shared" si="10"/>
        <v>37500</v>
      </c>
      <c r="K145" t="str">
        <f t="shared" si="11"/>
        <v>Q4</v>
      </c>
      <c r="L145" s="1">
        <f>EOMONTH(Tbl_Forecast[[#This Row],[Date]],0)</f>
        <v>45596</v>
      </c>
    </row>
    <row r="146" spans="1:12" x14ac:dyDescent="0.3">
      <c r="A146" s="1">
        <v>45884</v>
      </c>
      <c r="B146" t="s">
        <v>6</v>
      </c>
      <c r="C146">
        <v>3666</v>
      </c>
      <c r="D146" s="3" cm="1">
        <f t="array" ref="D146">_xlfn.SWITCH(Assumptions!$B$2,"Base",Assumptions!$B$9,"Optimistic",Assumptions!$B$10,"Pessimistic",Assumptions!$B$11)</f>
        <v>0.05</v>
      </c>
      <c r="E146">
        <f>_xlfn.XLOOKUP(K146,Assumptions!$A$14:$A$17,Assumptions!$B$14:$B$17,0,0,1)</f>
        <v>1.1000000000000001</v>
      </c>
      <c r="F146" s="5">
        <f t="shared" si="8"/>
        <v>4234.2300000000005</v>
      </c>
      <c r="G146" s="7">
        <f>Assumptions!$B$21</f>
        <v>3000</v>
      </c>
      <c r="H146" s="5">
        <f t="shared" si="9"/>
        <v>3000</v>
      </c>
      <c r="I146">
        <f>Tbl_RawData[[#This Row],[Unit_price]]*(1+Assumptions!$B$26)</f>
        <v>13.5</v>
      </c>
      <c r="J146" s="12">
        <f t="shared" si="10"/>
        <v>40500</v>
      </c>
      <c r="K146" t="str">
        <f t="shared" si="11"/>
        <v>Q3</v>
      </c>
      <c r="L146" s="1">
        <f>EOMONTH(Tbl_Forecast[[#This Row],[Date]],0)</f>
        <v>45900</v>
      </c>
    </row>
    <row r="147" spans="1:12" x14ac:dyDescent="0.3">
      <c r="A147" s="1">
        <v>45639</v>
      </c>
      <c r="B147" t="s">
        <v>4</v>
      </c>
      <c r="C147">
        <v>1172</v>
      </c>
      <c r="D147" s="3" cm="1">
        <f t="array" ref="D147">_xlfn.SWITCH(Assumptions!$B$2,"Base",Assumptions!$B$9,"Optimistic",Assumptions!$B$10,"Pessimistic",Assumptions!$B$11)</f>
        <v>0.05</v>
      </c>
      <c r="E147">
        <f>_xlfn.XLOOKUP(K147,Assumptions!$A$14:$A$17,Assumptions!$B$14:$B$17,0,0,1)</f>
        <v>1.1499999999999999</v>
      </c>
      <c r="F147" s="5">
        <f t="shared" si="8"/>
        <v>1415.19</v>
      </c>
      <c r="G147" s="7">
        <f>Assumptions!$B$21</f>
        <v>3000</v>
      </c>
      <c r="H147" s="5">
        <f t="shared" si="9"/>
        <v>1415.19</v>
      </c>
      <c r="I147">
        <f>Tbl_RawData[[#This Row],[Unit_price]]*(1+Assumptions!$B$26)</f>
        <v>12.5</v>
      </c>
      <c r="J147" s="12">
        <f t="shared" si="10"/>
        <v>17689.875</v>
      </c>
      <c r="K147" t="str">
        <f t="shared" si="11"/>
        <v>Q4</v>
      </c>
      <c r="L147" s="1">
        <f>EOMONTH(Tbl_Forecast[[#This Row],[Date]],0)</f>
        <v>45657</v>
      </c>
    </row>
    <row r="148" spans="1:12" x14ac:dyDescent="0.3">
      <c r="A148" s="1">
        <v>45444</v>
      </c>
      <c r="B148" t="s">
        <v>4</v>
      </c>
      <c r="C148">
        <v>3719</v>
      </c>
      <c r="D148" s="3" cm="1">
        <f t="array" ref="D148">_xlfn.SWITCH(Assumptions!$B$2,"Base",Assumptions!$B$9,"Optimistic",Assumptions!$B$10,"Pessimistic",Assumptions!$B$11)</f>
        <v>0.05</v>
      </c>
      <c r="E148">
        <f>_xlfn.XLOOKUP(K148,Assumptions!$A$14:$A$17,Assumptions!$B$14:$B$17,0,0,1)</f>
        <v>1</v>
      </c>
      <c r="F148" s="5">
        <f t="shared" si="8"/>
        <v>3904.9500000000003</v>
      </c>
      <c r="G148" s="7">
        <f>Assumptions!$B$21</f>
        <v>3000</v>
      </c>
      <c r="H148" s="5">
        <f t="shared" si="9"/>
        <v>3000</v>
      </c>
      <c r="I148">
        <f>Tbl_RawData[[#This Row],[Unit_price]]*(1+Assumptions!$B$26)</f>
        <v>12</v>
      </c>
      <c r="J148" s="12">
        <f t="shared" si="10"/>
        <v>36000</v>
      </c>
      <c r="K148" t="str">
        <f t="shared" si="11"/>
        <v>Q2</v>
      </c>
      <c r="L148" s="1">
        <f>EOMONTH(Tbl_Forecast[[#This Row],[Date]],0)</f>
        <v>45473</v>
      </c>
    </row>
    <row r="149" spans="1:12" x14ac:dyDescent="0.3">
      <c r="A149" s="1">
        <v>45897</v>
      </c>
      <c r="B149" t="s">
        <v>6</v>
      </c>
      <c r="C149">
        <v>4876</v>
      </c>
      <c r="D149" s="3" cm="1">
        <f t="array" ref="D149">_xlfn.SWITCH(Assumptions!$B$2,"Base",Assumptions!$B$9,"Optimistic",Assumptions!$B$10,"Pessimistic",Assumptions!$B$11)</f>
        <v>0.05</v>
      </c>
      <c r="E149">
        <f>_xlfn.XLOOKUP(K149,Assumptions!$A$14:$A$17,Assumptions!$B$14:$B$17,0,0,1)</f>
        <v>1.1000000000000001</v>
      </c>
      <c r="F149" s="5">
        <f t="shared" si="8"/>
        <v>5631.7800000000007</v>
      </c>
      <c r="G149" s="7">
        <f>Assumptions!$B$21</f>
        <v>3000</v>
      </c>
      <c r="H149" s="5">
        <f t="shared" si="9"/>
        <v>3000</v>
      </c>
      <c r="I149">
        <f>Tbl_RawData[[#This Row],[Unit_price]]*(1+Assumptions!$B$26)</f>
        <v>13.5</v>
      </c>
      <c r="J149" s="12">
        <f t="shared" si="10"/>
        <v>40500</v>
      </c>
      <c r="K149" t="str">
        <f t="shared" si="11"/>
        <v>Q3</v>
      </c>
      <c r="L149" s="1">
        <f>EOMONTH(Tbl_Forecast[[#This Row],[Date]],0)</f>
        <v>45900</v>
      </c>
    </row>
    <row r="150" spans="1:12" x14ac:dyDescent="0.3">
      <c r="A150" s="1">
        <v>45870</v>
      </c>
      <c r="B150" t="s">
        <v>4</v>
      </c>
      <c r="C150">
        <v>2230</v>
      </c>
      <c r="D150" s="3" cm="1">
        <f t="array" ref="D150">_xlfn.SWITCH(Assumptions!$B$2,"Base",Assumptions!$B$9,"Optimistic",Assumptions!$B$10,"Pessimistic",Assumptions!$B$11)</f>
        <v>0.05</v>
      </c>
      <c r="E150">
        <f>_xlfn.XLOOKUP(K150,Assumptions!$A$14:$A$17,Assumptions!$B$14:$B$17,0,0,1)</f>
        <v>1.1000000000000001</v>
      </c>
      <c r="F150" s="5">
        <f t="shared" si="8"/>
        <v>2575.65</v>
      </c>
      <c r="G150" s="7">
        <f>Assumptions!$B$21</f>
        <v>3000</v>
      </c>
      <c r="H150" s="5">
        <f t="shared" si="9"/>
        <v>2575.65</v>
      </c>
      <c r="I150">
        <f>Tbl_RawData[[#This Row],[Unit_price]]*(1+Assumptions!$B$26)</f>
        <v>13.5</v>
      </c>
      <c r="J150" s="12">
        <f t="shared" si="10"/>
        <v>34771.275000000001</v>
      </c>
      <c r="K150" t="str">
        <f t="shared" si="11"/>
        <v>Q3</v>
      </c>
      <c r="L150" s="1">
        <f>EOMONTH(Tbl_Forecast[[#This Row],[Date]],0)</f>
        <v>45900</v>
      </c>
    </row>
    <row r="151" spans="1:12" x14ac:dyDescent="0.3">
      <c r="A151" s="1">
        <v>45382</v>
      </c>
      <c r="B151" t="s">
        <v>4</v>
      </c>
      <c r="C151">
        <v>3432</v>
      </c>
      <c r="D151" s="3" cm="1">
        <f t="array" ref="D151">_xlfn.SWITCH(Assumptions!$B$2,"Base",Assumptions!$B$9,"Optimistic",Assumptions!$B$10,"Pessimistic",Assumptions!$B$11)</f>
        <v>0.05</v>
      </c>
      <c r="E151">
        <f>_xlfn.XLOOKUP(K151,Assumptions!$A$14:$A$17,Assumptions!$B$14:$B$17,0,0,1)</f>
        <v>0.95</v>
      </c>
      <c r="F151" s="5">
        <f t="shared" si="8"/>
        <v>3423.42</v>
      </c>
      <c r="G151" s="7">
        <f>Assumptions!$B$21</f>
        <v>3000</v>
      </c>
      <c r="H151" s="5">
        <f t="shared" si="9"/>
        <v>3000</v>
      </c>
      <c r="I151">
        <f>Tbl_RawData[[#This Row],[Unit_price]]*(1+Assumptions!$B$26)</f>
        <v>12</v>
      </c>
      <c r="J151" s="12">
        <f t="shared" si="10"/>
        <v>36000</v>
      </c>
      <c r="K151" t="str">
        <f t="shared" si="11"/>
        <v>Q1</v>
      </c>
      <c r="L151" s="1">
        <f>EOMONTH(Tbl_Forecast[[#This Row],[Date]],0)</f>
        <v>45382</v>
      </c>
    </row>
    <row r="152" spans="1:12" x14ac:dyDescent="0.3">
      <c r="A152" s="1">
        <v>45509</v>
      </c>
      <c r="B152" t="s">
        <v>5</v>
      </c>
      <c r="C152">
        <v>4094</v>
      </c>
      <c r="D152" s="3" cm="1">
        <f t="array" ref="D152">_xlfn.SWITCH(Assumptions!$B$2,"Base",Assumptions!$B$9,"Optimistic",Assumptions!$B$10,"Pessimistic",Assumptions!$B$11)</f>
        <v>0.05</v>
      </c>
      <c r="E152">
        <f>_xlfn.XLOOKUP(K152,Assumptions!$A$14:$A$17,Assumptions!$B$14:$B$17,0,0,1)</f>
        <v>1.1000000000000001</v>
      </c>
      <c r="F152" s="5">
        <f t="shared" si="8"/>
        <v>4728.5700000000006</v>
      </c>
      <c r="G152" s="7">
        <f>Assumptions!$B$21</f>
        <v>3000</v>
      </c>
      <c r="H152" s="5">
        <f t="shared" si="9"/>
        <v>3000</v>
      </c>
      <c r="I152">
        <f>Tbl_RawData[[#This Row],[Unit_price]]*(1+Assumptions!$B$26)</f>
        <v>12.5</v>
      </c>
      <c r="J152" s="12">
        <f t="shared" si="10"/>
        <v>37500</v>
      </c>
      <c r="K152" t="str">
        <f t="shared" si="11"/>
        <v>Q3</v>
      </c>
      <c r="L152" s="1">
        <f>EOMONTH(Tbl_Forecast[[#This Row],[Date]],0)</f>
        <v>45535</v>
      </c>
    </row>
    <row r="153" spans="1:12" x14ac:dyDescent="0.3">
      <c r="A153" s="1">
        <v>45528</v>
      </c>
      <c r="B153" t="s">
        <v>6</v>
      </c>
      <c r="C153">
        <v>1336</v>
      </c>
      <c r="D153" s="3" cm="1">
        <f t="array" ref="D153">_xlfn.SWITCH(Assumptions!$B$2,"Base",Assumptions!$B$9,"Optimistic",Assumptions!$B$10,"Pessimistic",Assumptions!$B$11)</f>
        <v>0.05</v>
      </c>
      <c r="E153">
        <f>_xlfn.XLOOKUP(K153,Assumptions!$A$14:$A$17,Assumptions!$B$14:$B$17,0,0,1)</f>
        <v>1.1000000000000001</v>
      </c>
      <c r="F153" s="5">
        <f t="shared" si="8"/>
        <v>1543.0800000000002</v>
      </c>
      <c r="G153" s="7">
        <f>Assumptions!$B$21</f>
        <v>3000</v>
      </c>
      <c r="H153" s="5">
        <f t="shared" si="9"/>
        <v>1543.0800000000002</v>
      </c>
      <c r="I153">
        <f>Tbl_RawData[[#This Row],[Unit_price]]*(1+Assumptions!$B$26)</f>
        <v>12.5</v>
      </c>
      <c r="J153" s="12">
        <f t="shared" si="10"/>
        <v>19288.500000000004</v>
      </c>
      <c r="K153" t="str">
        <f t="shared" si="11"/>
        <v>Q3</v>
      </c>
      <c r="L153" s="1">
        <f>EOMONTH(Tbl_Forecast[[#This Row],[Date]],0)</f>
        <v>45535</v>
      </c>
    </row>
    <row r="154" spans="1:12" x14ac:dyDescent="0.3">
      <c r="A154" s="1">
        <v>45812</v>
      </c>
      <c r="B154" t="s">
        <v>4</v>
      </c>
      <c r="C154">
        <v>4340</v>
      </c>
      <c r="D154" s="3" cm="1">
        <f t="array" ref="D154">_xlfn.SWITCH(Assumptions!$B$2,"Base",Assumptions!$B$9,"Optimistic",Assumptions!$B$10,"Pessimistic",Assumptions!$B$11)</f>
        <v>0.05</v>
      </c>
      <c r="E154">
        <f>_xlfn.XLOOKUP(K154,Assumptions!$A$14:$A$17,Assumptions!$B$14:$B$17,0,0,1)</f>
        <v>1</v>
      </c>
      <c r="F154" s="5">
        <f t="shared" si="8"/>
        <v>4557</v>
      </c>
      <c r="G154" s="7">
        <f>Assumptions!$B$21</f>
        <v>3000</v>
      </c>
      <c r="H154" s="5">
        <f t="shared" si="9"/>
        <v>3000</v>
      </c>
      <c r="I154">
        <f>Tbl_RawData[[#This Row],[Unit_price]]*(1+Assumptions!$B$26)</f>
        <v>13</v>
      </c>
      <c r="J154" s="12">
        <f t="shared" si="10"/>
        <v>39000</v>
      </c>
      <c r="K154" t="str">
        <f t="shared" si="11"/>
        <v>Q2</v>
      </c>
      <c r="L154" s="1">
        <f>EOMONTH(Tbl_Forecast[[#This Row],[Date]],0)</f>
        <v>45838</v>
      </c>
    </row>
    <row r="155" spans="1:12" x14ac:dyDescent="0.3">
      <c r="A155" s="1">
        <v>45391</v>
      </c>
      <c r="B155" t="s">
        <v>6</v>
      </c>
      <c r="C155">
        <v>3749</v>
      </c>
      <c r="D155" s="3" cm="1">
        <f t="array" ref="D155">_xlfn.SWITCH(Assumptions!$B$2,"Base",Assumptions!$B$9,"Optimistic",Assumptions!$B$10,"Pessimistic",Assumptions!$B$11)</f>
        <v>0.05</v>
      </c>
      <c r="E155">
        <f>_xlfn.XLOOKUP(K155,Assumptions!$A$14:$A$17,Assumptions!$B$14:$B$17,0,0,1)</f>
        <v>1</v>
      </c>
      <c r="F155" s="5">
        <f t="shared" si="8"/>
        <v>3936.4500000000003</v>
      </c>
      <c r="G155" s="7">
        <f>Assumptions!$B$21</f>
        <v>3000</v>
      </c>
      <c r="H155" s="5">
        <f t="shared" si="9"/>
        <v>3000</v>
      </c>
      <c r="I155">
        <f>Tbl_RawData[[#This Row],[Unit_price]]*(1+Assumptions!$B$26)</f>
        <v>12</v>
      </c>
      <c r="J155" s="12">
        <f t="shared" si="10"/>
        <v>36000</v>
      </c>
      <c r="K155" t="str">
        <f t="shared" si="11"/>
        <v>Q2</v>
      </c>
      <c r="L155" s="1">
        <f>EOMONTH(Tbl_Forecast[[#This Row],[Date]],0)</f>
        <v>45412</v>
      </c>
    </row>
    <row r="156" spans="1:12" x14ac:dyDescent="0.3">
      <c r="A156" s="1">
        <v>45408</v>
      </c>
      <c r="B156" t="s">
        <v>4</v>
      </c>
      <c r="C156">
        <v>1725</v>
      </c>
      <c r="D156" s="3" cm="1">
        <f t="array" ref="D156">_xlfn.SWITCH(Assumptions!$B$2,"Base",Assumptions!$B$9,"Optimistic",Assumptions!$B$10,"Pessimistic",Assumptions!$B$11)</f>
        <v>0.05</v>
      </c>
      <c r="E156">
        <f>_xlfn.XLOOKUP(K156,Assumptions!$A$14:$A$17,Assumptions!$B$14:$B$17,0,0,1)</f>
        <v>1</v>
      </c>
      <c r="F156" s="5">
        <f t="shared" si="8"/>
        <v>1811.25</v>
      </c>
      <c r="G156" s="7">
        <f>Assumptions!$B$21</f>
        <v>3000</v>
      </c>
      <c r="H156" s="5">
        <f t="shared" si="9"/>
        <v>1811.25</v>
      </c>
      <c r="I156">
        <f>Tbl_RawData[[#This Row],[Unit_price]]*(1+Assumptions!$B$26)</f>
        <v>12</v>
      </c>
      <c r="J156" s="12">
        <f t="shared" si="10"/>
        <v>21735</v>
      </c>
      <c r="K156" t="str">
        <f t="shared" si="11"/>
        <v>Q2</v>
      </c>
      <c r="L156" s="1">
        <f>EOMONTH(Tbl_Forecast[[#This Row],[Date]],0)</f>
        <v>45412</v>
      </c>
    </row>
    <row r="157" spans="1:12" x14ac:dyDescent="0.3">
      <c r="A157" s="1">
        <v>45871</v>
      </c>
      <c r="B157" t="s">
        <v>6</v>
      </c>
      <c r="C157">
        <v>3459</v>
      </c>
      <c r="D157" s="3" cm="1">
        <f t="array" ref="D157">_xlfn.SWITCH(Assumptions!$B$2,"Base",Assumptions!$B$9,"Optimistic",Assumptions!$B$10,"Pessimistic",Assumptions!$B$11)</f>
        <v>0.05</v>
      </c>
      <c r="E157">
        <f>_xlfn.XLOOKUP(K157,Assumptions!$A$14:$A$17,Assumptions!$B$14:$B$17,0,0,1)</f>
        <v>1.1000000000000001</v>
      </c>
      <c r="F157" s="5">
        <f t="shared" si="8"/>
        <v>3995.1450000000004</v>
      </c>
      <c r="G157" s="7">
        <f>Assumptions!$B$21</f>
        <v>3000</v>
      </c>
      <c r="H157" s="5">
        <f t="shared" si="9"/>
        <v>3000</v>
      </c>
      <c r="I157">
        <f>Tbl_RawData[[#This Row],[Unit_price]]*(1+Assumptions!$B$26)</f>
        <v>13.5</v>
      </c>
      <c r="J157" s="12">
        <f t="shared" si="10"/>
        <v>40500</v>
      </c>
      <c r="K157" t="str">
        <f t="shared" si="11"/>
        <v>Q3</v>
      </c>
      <c r="L157" s="1">
        <f>EOMONTH(Tbl_Forecast[[#This Row],[Date]],0)</f>
        <v>45900</v>
      </c>
    </row>
    <row r="158" spans="1:12" x14ac:dyDescent="0.3">
      <c r="A158" s="1">
        <v>45723</v>
      </c>
      <c r="B158" t="s">
        <v>6</v>
      </c>
      <c r="C158">
        <v>2998</v>
      </c>
      <c r="D158" s="3" cm="1">
        <f t="array" ref="D158">_xlfn.SWITCH(Assumptions!$B$2,"Base",Assumptions!$B$9,"Optimistic",Assumptions!$B$10,"Pessimistic",Assumptions!$B$11)</f>
        <v>0.05</v>
      </c>
      <c r="E158">
        <f>_xlfn.XLOOKUP(K158,Assumptions!$A$14:$A$17,Assumptions!$B$14:$B$17,0,0,1)</f>
        <v>0.95</v>
      </c>
      <c r="F158" s="5">
        <f t="shared" si="8"/>
        <v>2990.5050000000001</v>
      </c>
      <c r="G158" s="7">
        <f>Assumptions!$B$21</f>
        <v>3000</v>
      </c>
      <c r="H158" s="5">
        <f t="shared" si="9"/>
        <v>2990.5050000000001</v>
      </c>
      <c r="I158">
        <f>Tbl_RawData[[#This Row],[Unit_price]]*(1+Assumptions!$B$26)</f>
        <v>13</v>
      </c>
      <c r="J158" s="12">
        <f t="shared" si="10"/>
        <v>38876.565000000002</v>
      </c>
      <c r="K158" t="str">
        <f t="shared" si="11"/>
        <v>Q1</v>
      </c>
      <c r="L158" s="1">
        <f>EOMONTH(Tbl_Forecast[[#This Row],[Date]],0)</f>
        <v>45747</v>
      </c>
    </row>
    <row r="159" spans="1:12" x14ac:dyDescent="0.3">
      <c r="A159" s="1">
        <v>45363</v>
      </c>
      <c r="B159" t="s">
        <v>6</v>
      </c>
      <c r="C159">
        <v>212</v>
      </c>
      <c r="D159" s="3" cm="1">
        <f t="array" ref="D159">_xlfn.SWITCH(Assumptions!$B$2,"Base",Assumptions!$B$9,"Optimistic",Assumptions!$B$10,"Pessimistic",Assumptions!$B$11)</f>
        <v>0.05</v>
      </c>
      <c r="E159">
        <f>_xlfn.XLOOKUP(K159,Assumptions!$A$14:$A$17,Assumptions!$B$14:$B$17,0,0,1)</f>
        <v>0.95</v>
      </c>
      <c r="F159" s="5">
        <f t="shared" si="8"/>
        <v>211.47</v>
      </c>
      <c r="G159" s="7">
        <f>Assumptions!$B$21</f>
        <v>3000</v>
      </c>
      <c r="H159" s="5">
        <f t="shared" si="9"/>
        <v>211.47</v>
      </c>
      <c r="I159">
        <f>Tbl_RawData[[#This Row],[Unit_price]]*(1+Assumptions!$B$26)</f>
        <v>12</v>
      </c>
      <c r="J159" s="12">
        <f t="shared" si="10"/>
        <v>2537.64</v>
      </c>
      <c r="K159" t="str">
        <f t="shared" si="11"/>
        <v>Q1</v>
      </c>
      <c r="L159" s="1">
        <f>EOMONTH(Tbl_Forecast[[#This Row],[Date]],0)</f>
        <v>45382</v>
      </c>
    </row>
    <row r="160" spans="1:12" x14ac:dyDescent="0.3">
      <c r="A160" s="1">
        <v>45625</v>
      </c>
      <c r="B160" t="s">
        <v>4</v>
      </c>
      <c r="C160">
        <v>1156</v>
      </c>
      <c r="D160" s="3" cm="1">
        <f t="array" ref="D160">_xlfn.SWITCH(Assumptions!$B$2,"Base",Assumptions!$B$9,"Optimistic",Assumptions!$B$10,"Pessimistic",Assumptions!$B$11)</f>
        <v>0.05</v>
      </c>
      <c r="E160">
        <f>_xlfn.XLOOKUP(K160,Assumptions!$A$14:$A$17,Assumptions!$B$14:$B$17,0,0,1)</f>
        <v>1.1499999999999999</v>
      </c>
      <c r="F160" s="5">
        <f t="shared" si="8"/>
        <v>1395.87</v>
      </c>
      <c r="G160" s="7">
        <f>Assumptions!$B$21</f>
        <v>3000</v>
      </c>
      <c r="H160" s="5">
        <f t="shared" si="9"/>
        <v>1395.87</v>
      </c>
      <c r="I160">
        <f>Tbl_RawData[[#This Row],[Unit_price]]*(1+Assumptions!$B$26)</f>
        <v>12.5</v>
      </c>
      <c r="J160" s="12">
        <f t="shared" si="10"/>
        <v>17448.375</v>
      </c>
      <c r="K160" t="str">
        <f t="shared" si="11"/>
        <v>Q4</v>
      </c>
      <c r="L160" s="1">
        <f>EOMONTH(Tbl_Forecast[[#This Row],[Date]],0)</f>
        <v>45626</v>
      </c>
    </row>
    <row r="161" spans="1:12" x14ac:dyDescent="0.3">
      <c r="A161" s="1">
        <v>45358</v>
      </c>
      <c r="B161" t="s">
        <v>5</v>
      </c>
      <c r="C161">
        <v>382</v>
      </c>
      <c r="D161" s="3" cm="1">
        <f t="array" ref="D161">_xlfn.SWITCH(Assumptions!$B$2,"Base",Assumptions!$B$9,"Optimistic",Assumptions!$B$10,"Pessimistic",Assumptions!$B$11)</f>
        <v>0.05</v>
      </c>
      <c r="E161">
        <f>_xlfn.XLOOKUP(K161,Assumptions!$A$14:$A$17,Assumptions!$B$14:$B$17,0,0,1)</f>
        <v>0.95</v>
      </c>
      <c r="F161" s="5">
        <f t="shared" si="8"/>
        <v>381.04500000000002</v>
      </c>
      <c r="G161" s="7">
        <f>Assumptions!$B$21</f>
        <v>3000</v>
      </c>
      <c r="H161" s="5">
        <f t="shared" si="9"/>
        <v>381.04500000000002</v>
      </c>
      <c r="I161">
        <f>Tbl_RawData[[#This Row],[Unit_price]]*(1+Assumptions!$B$26)</f>
        <v>12</v>
      </c>
      <c r="J161" s="12">
        <f t="shared" si="10"/>
        <v>4572.54</v>
      </c>
      <c r="K161" t="str">
        <f t="shared" si="11"/>
        <v>Q1</v>
      </c>
      <c r="L161" s="1">
        <f>EOMONTH(Tbl_Forecast[[#This Row],[Date]],0)</f>
        <v>45382</v>
      </c>
    </row>
    <row r="162" spans="1:12" x14ac:dyDescent="0.3">
      <c r="A162" s="1">
        <v>45634</v>
      </c>
      <c r="B162" t="s">
        <v>4</v>
      </c>
      <c r="C162">
        <v>1931</v>
      </c>
      <c r="D162" s="3" cm="1">
        <f t="array" ref="D162">_xlfn.SWITCH(Assumptions!$B$2,"Base",Assumptions!$B$9,"Optimistic",Assumptions!$B$10,"Pessimistic",Assumptions!$B$11)</f>
        <v>0.05</v>
      </c>
      <c r="E162">
        <f>_xlfn.XLOOKUP(K162,Assumptions!$A$14:$A$17,Assumptions!$B$14:$B$17,0,0,1)</f>
        <v>1.1499999999999999</v>
      </c>
      <c r="F162" s="5">
        <f t="shared" si="8"/>
        <v>2331.6824999999999</v>
      </c>
      <c r="G162" s="7">
        <f>Assumptions!$B$21</f>
        <v>3000</v>
      </c>
      <c r="H162" s="5">
        <f t="shared" si="9"/>
        <v>2331.6824999999999</v>
      </c>
      <c r="I162">
        <f>Tbl_RawData[[#This Row],[Unit_price]]*(1+Assumptions!$B$26)</f>
        <v>12.5</v>
      </c>
      <c r="J162" s="12">
        <f t="shared" si="10"/>
        <v>29146.03125</v>
      </c>
      <c r="K162" t="str">
        <f t="shared" si="11"/>
        <v>Q4</v>
      </c>
      <c r="L162" s="1">
        <f>EOMONTH(Tbl_Forecast[[#This Row],[Date]],0)</f>
        <v>45657</v>
      </c>
    </row>
    <row r="163" spans="1:12" x14ac:dyDescent="0.3">
      <c r="A163" s="1">
        <v>45951</v>
      </c>
      <c r="B163" t="s">
        <v>6</v>
      </c>
      <c r="C163">
        <v>622</v>
      </c>
      <c r="D163" s="3" cm="1">
        <f t="array" ref="D163">_xlfn.SWITCH(Assumptions!$B$2,"Base",Assumptions!$B$9,"Optimistic",Assumptions!$B$10,"Pessimistic",Assumptions!$B$11)</f>
        <v>0.05</v>
      </c>
      <c r="E163">
        <f>_xlfn.XLOOKUP(K163,Assumptions!$A$14:$A$17,Assumptions!$B$14:$B$17,0,0,1)</f>
        <v>1.1499999999999999</v>
      </c>
      <c r="F163" s="5">
        <f t="shared" si="8"/>
        <v>751.06499999999994</v>
      </c>
      <c r="G163" s="7">
        <f>Assumptions!$B$21</f>
        <v>3000</v>
      </c>
      <c r="H163" s="5">
        <f t="shared" si="9"/>
        <v>751.06499999999994</v>
      </c>
      <c r="I163">
        <f>Tbl_RawData[[#This Row],[Unit_price]]*(1+Assumptions!$B$26)</f>
        <v>13.5</v>
      </c>
      <c r="J163" s="12">
        <f t="shared" si="10"/>
        <v>10139.377499999999</v>
      </c>
      <c r="K163" t="str">
        <f t="shared" si="11"/>
        <v>Q4</v>
      </c>
      <c r="L163" s="1">
        <f>EOMONTH(Tbl_Forecast[[#This Row],[Date]],0)</f>
        <v>45961</v>
      </c>
    </row>
    <row r="164" spans="1:12" x14ac:dyDescent="0.3">
      <c r="A164" s="1">
        <v>45753</v>
      </c>
      <c r="B164" t="s">
        <v>5</v>
      </c>
      <c r="C164">
        <v>2490</v>
      </c>
      <c r="D164" s="3" cm="1">
        <f t="array" ref="D164">_xlfn.SWITCH(Assumptions!$B$2,"Base",Assumptions!$B$9,"Optimistic",Assumptions!$B$10,"Pessimistic",Assumptions!$B$11)</f>
        <v>0.05</v>
      </c>
      <c r="E164">
        <f>_xlfn.XLOOKUP(K164,Assumptions!$A$14:$A$17,Assumptions!$B$14:$B$17,0,0,1)</f>
        <v>1</v>
      </c>
      <c r="F164" s="5">
        <f t="shared" si="8"/>
        <v>2614.5</v>
      </c>
      <c r="G164" s="7">
        <f>Assumptions!$B$21</f>
        <v>3000</v>
      </c>
      <c r="H164" s="5">
        <f t="shared" si="9"/>
        <v>2614.5</v>
      </c>
      <c r="I164">
        <f>Tbl_RawData[[#This Row],[Unit_price]]*(1+Assumptions!$B$26)</f>
        <v>13</v>
      </c>
      <c r="J164" s="12">
        <f t="shared" si="10"/>
        <v>33988.5</v>
      </c>
      <c r="K164" t="str">
        <f t="shared" si="11"/>
        <v>Q2</v>
      </c>
      <c r="L164" s="1">
        <f>EOMONTH(Tbl_Forecast[[#This Row],[Date]],0)</f>
        <v>45777</v>
      </c>
    </row>
    <row r="165" spans="1:12" x14ac:dyDescent="0.3">
      <c r="A165" s="1">
        <v>45810</v>
      </c>
      <c r="B165" t="s">
        <v>6</v>
      </c>
      <c r="C165">
        <v>675</v>
      </c>
      <c r="D165" s="3" cm="1">
        <f t="array" ref="D165">_xlfn.SWITCH(Assumptions!$B$2,"Base",Assumptions!$B$9,"Optimistic",Assumptions!$B$10,"Pessimistic",Assumptions!$B$11)</f>
        <v>0.05</v>
      </c>
      <c r="E165">
        <f>_xlfn.XLOOKUP(K165,Assumptions!$A$14:$A$17,Assumptions!$B$14:$B$17,0,0,1)</f>
        <v>1</v>
      </c>
      <c r="F165" s="5">
        <f t="shared" si="8"/>
        <v>708.75</v>
      </c>
      <c r="G165" s="7">
        <f>Assumptions!$B$21</f>
        <v>3000</v>
      </c>
      <c r="H165" s="5">
        <f t="shared" si="9"/>
        <v>708.75</v>
      </c>
      <c r="I165">
        <f>Tbl_RawData[[#This Row],[Unit_price]]*(1+Assumptions!$B$26)</f>
        <v>13</v>
      </c>
      <c r="J165" s="12">
        <f t="shared" si="10"/>
        <v>9213.75</v>
      </c>
      <c r="K165" t="str">
        <f t="shared" si="11"/>
        <v>Q2</v>
      </c>
      <c r="L165" s="1">
        <f>EOMONTH(Tbl_Forecast[[#This Row],[Date]],0)</f>
        <v>45838</v>
      </c>
    </row>
    <row r="166" spans="1:12" x14ac:dyDescent="0.3">
      <c r="A166" s="1">
        <v>45381</v>
      </c>
      <c r="B166" t="s">
        <v>5</v>
      </c>
      <c r="C166">
        <v>1424</v>
      </c>
      <c r="D166" s="3" cm="1">
        <f t="array" ref="D166">_xlfn.SWITCH(Assumptions!$B$2,"Base",Assumptions!$B$9,"Optimistic",Assumptions!$B$10,"Pessimistic",Assumptions!$B$11)</f>
        <v>0.05</v>
      </c>
      <c r="E166">
        <f>_xlfn.XLOOKUP(K166,Assumptions!$A$14:$A$17,Assumptions!$B$14:$B$17,0,0,1)</f>
        <v>0.95</v>
      </c>
      <c r="F166" s="5">
        <f t="shared" si="8"/>
        <v>1420.44</v>
      </c>
      <c r="G166" s="7">
        <f>Assumptions!$B$21</f>
        <v>3000</v>
      </c>
      <c r="H166" s="5">
        <f t="shared" si="9"/>
        <v>1420.44</v>
      </c>
      <c r="I166">
        <f>Tbl_RawData[[#This Row],[Unit_price]]*(1+Assumptions!$B$26)</f>
        <v>12</v>
      </c>
      <c r="J166" s="12">
        <f t="shared" si="10"/>
        <v>17045.28</v>
      </c>
      <c r="K166" t="str">
        <f t="shared" si="11"/>
        <v>Q1</v>
      </c>
      <c r="L166" s="1">
        <f>EOMONTH(Tbl_Forecast[[#This Row],[Date]],0)</f>
        <v>45382</v>
      </c>
    </row>
    <row r="167" spans="1:12" x14ac:dyDescent="0.3">
      <c r="A167" s="1">
        <v>45473</v>
      </c>
      <c r="B167" t="s">
        <v>4</v>
      </c>
      <c r="C167">
        <v>4797</v>
      </c>
      <c r="D167" s="3" cm="1">
        <f t="array" ref="D167">_xlfn.SWITCH(Assumptions!$B$2,"Base",Assumptions!$B$9,"Optimistic",Assumptions!$B$10,"Pessimistic",Assumptions!$B$11)</f>
        <v>0.05</v>
      </c>
      <c r="E167">
        <f>_xlfn.XLOOKUP(K167,Assumptions!$A$14:$A$17,Assumptions!$B$14:$B$17,0,0,1)</f>
        <v>1</v>
      </c>
      <c r="F167" s="5">
        <f t="shared" si="8"/>
        <v>5036.8500000000004</v>
      </c>
      <c r="G167" s="7">
        <f>Assumptions!$B$21</f>
        <v>3000</v>
      </c>
      <c r="H167" s="5">
        <f t="shared" si="9"/>
        <v>3000</v>
      </c>
      <c r="I167">
        <f>Tbl_RawData[[#This Row],[Unit_price]]*(1+Assumptions!$B$26)</f>
        <v>12</v>
      </c>
      <c r="J167" s="12">
        <f t="shared" si="10"/>
        <v>36000</v>
      </c>
      <c r="K167" t="str">
        <f t="shared" si="11"/>
        <v>Q2</v>
      </c>
      <c r="L167" s="1">
        <f>EOMONTH(Tbl_Forecast[[#This Row],[Date]],0)</f>
        <v>45473</v>
      </c>
    </row>
    <row r="168" spans="1:12" x14ac:dyDescent="0.3">
      <c r="A168" s="1">
        <v>45864</v>
      </c>
      <c r="B168" t="s">
        <v>6</v>
      </c>
      <c r="C168">
        <v>913</v>
      </c>
      <c r="D168" s="3" cm="1">
        <f t="array" ref="D168">_xlfn.SWITCH(Assumptions!$B$2,"Base",Assumptions!$B$9,"Optimistic",Assumptions!$B$10,"Pessimistic",Assumptions!$B$11)</f>
        <v>0.05</v>
      </c>
      <c r="E168">
        <f>_xlfn.XLOOKUP(K168,Assumptions!$A$14:$A$17,Assumptions!$B$14:$B$17,0,0,1)</f>
        <v>1.1000000000000001</v>
      </c>
      <c r="F168" s="5">
        <f t="shared" si="8"/>
        <v>1054.5150000000001</v>
      </c>
      <c r="G168" s="7">
        <f>Assumptions!$B$21</f>
        <v>3000</v>
      </c>
      <c r="H168" s="5">
        <f t="shared" si="9"/>
        <v>1054.5150000000001</v>
      </c>
      <c r="I168">
        <f>Tbl_RawData[[#This Row],[Unit_price]]*(1+Assumptions!$B$26)</f>
        <v>13.5</v>
      </c>
      <c r="J168" s="12">
        <f t="shared" si="10"/>
        <v>14235.952500000001</v>
      </c>
      <c r="K168" t="str">
        <f t="shared" si="11"/>
        <v>Q3</v>
      </c>
      <c r="L168" s="1">
        <f>EOMONTH(Tbl_Forecast[[#This Row],[Date]],0)</f>
        <v>45869</v>
      </c>
    </row>
    <row r="169" spans="1:12" x14ac:dyDescent="0.3">
      <c r="A169" s="1">
        <v>45970</v>
      </c>
      <c r="B169" t="s">
        <v>6</v>
      </c>
      <c r="C169">
        <v>1949</v>
      </c>
      <c r="D169" s="3" cm="1">
        <f t="array" ref="D169">_xlfn.SWITCH(Assumptions!$B$2,"Base",Assumptions!$B$9,"Optimistic",Assumptions!$B$10,"Pessimistic",Assumptions!$B$11)</f>
        <v>0.05</v>
      </c>
      <c r="E169">
        <f>_xlfn.XLOOKUP(K169,Assumptions!$A$14:$A$17,Assumptions!$B$14:$B$17,0,0,1)</f>
        <v>1.1499999999999999</v>
      </c>
      <c r="F169" s="5">
        <f t="shared" si="8"/>
        <v>2353.4175</v>
      </c>
      <c r="G169" s="7">
        <f>Assumptions!$B$21</f>
        <v>3000</v>
      </c>
      <c r="H169" s="5">
        <f t="shared" si="9"/>
        <v>2353.4175</v>
      </c>
      <c r="I169">
        <f>Tbl_RawData[[#This Row],[Unit_price]]*(1+Assumptions!$B$26)</f>
        <v>13.5</v>
      </c>
      <c r="J169" s="12">
        <f t="shared" si="10"/>
        <v>31771.13625</v>
      </c>
      <c r="K169" t="str">
        <f t="shared" si="11"/>
        <v>Q4</v>
      </c>
      <c r="L169" s="1">
        <f>EOMONTH(Tbl_Forecast[[#This Row],[Date]],0)</f>
        <v>45991</v>
      </c>
    </row>
    <row r="170" spans="1:12" x14ac:dyDescent="0.3">
      <c r="A170" s="1">
        <v>45463</v>
      </c>
      <c r="B170" t="s">
        <v>4</v>
      </c>
      <c r="C170">
        <v>4771</v>
      </c>
      <c r="D170" s="3" cm="1">
        <f t="array" ref="D170">_xlfn.SWITCH(Assumptions!$B$2,"Base",Assumptions!$B$9,"Optimistic",Assumptions!$B$10,"Pessimistic",Assumptions!$B$11)</f>
        <v>0.05</v>
      </c>
      <c r="E170">
        <f>_xlfn.XLOOKUP(K170,Assumptions!$A$14:$A$17,Assumptions!$B$14:$B$17,0,0,1)</f>
        <v>1</v>
      </c>
      <c r="F170" s="5">
        <f t="shared" si="8"/>
        <v>5009.55</v>
      </c>
      <c r="G170" s="7">
        <f>Assumptions!$B$21</f>
        <v>3000</v>
      </c>
      <c r="H170" s="5">
        <f t="shared" si="9"/>
        <v>3000</v>
      </c>
      <c r="I170">
        <f>Tbl_RawData[[#This Row],[Unit_price]]*(1+Assumptions!$B$26)</f>
        <v>12</v>
      </c>
      <c r="J170" s="12">
        <f t="shared" si="10"/>
        <v>36000</v>
      </c>
      <c r="K170" t="str">
        <f t="shared" si="11"/>
        <v>Q2</v>
      </c>
      <c r="L170" s="1">
        <f>EOMONTH(Tbl_Forecast[[#This Row],[Date]],0)</f>
        <v>45473</v>
      </c>
    </row>
    <row r="171" spans="1:12" x14ac:dyDescent="0.3">
      <c r="A171" s="1">
        <v>45666</v>
      </c>
      <c r="B171" t="s">
        <v>5</v>
      </c>
      <c r="C171">
        <v>4823</v>
      </c>
      <c r="D171" s="3" cm="1">
        <f t="array" ref="D171">_xlfn.SWITCH(Assumptions!$B$2,"Base",Assumptions!$B$9,"Optimistic",Assumptions!$B$10,"Pessimistic",Assumptions!$B$11)</f>
        <v>0.05</v>
      </c>
      <c r="E171">
        <f>_xlfn.XLOOKUP(K171,Assumptions!$A$14:$A$17,Assumptions!$B$14:$B$17,0,0,1)</f>
        <v>0.95</v>
      </c>
      <c r="F171" s="5">
        <f t="shared" si="8"/>
        <v>4810.9425000000001</v>
      </c>
      <c r="G171" s="7">
        <f>Assumptions!$B$21</f>
        <v>3000</v>
      </c>
      <c r="H171" s="5">
        <f t="shared" si="9"/>
        <v>3000</v>
      </c>
      <c r="I171">
        <f>Tbl_RawData[[#This Row],[Unit_price]]*(1+Assumptions!$B$26)</f>
        <v>13</v>
      </c>
      <c r="J171" s="12">
        <f t="shared" si="10"/>
        <v>39000</v>
      </c>
      <c r="K171" t="str">
        <f t="shared" si="11"/>
        <v>Q1</v>
      </c>
      <c r="L171" s="1">
        <f>EOMONTH(Tbl_Forecast[[#This Row],[Date]],0)</f>
        <v>45688</v>
      </c>
    </row>
    <row r="172" spans="1:12" x14ac:dyDescent="0.3">
      <c r="A172" s="1">
        <v>45343</v>
      </c>
      <c r="B172" t="s">
        <v>5</v>
      </c>
      <c r="C172">
        <v>2501</v>
      </c>
      <c r="D172" s="3" cm="1">
        <f t="array" ref="D172">_xlfn.SWITCH(Assumptions!$B$2,"Base",Assumptions!$B$9,"Optimistic",Assumptions!$B$10,"Pessimistic",Assumptions!$B$11)</f>
        <v>0.05</v>
      </c>
      <c r="E172">
        <f>_xlfn.XLOOKUP(K172,Assumptions!$A$14:$A$17,Assumptions!$B$14:$B$17,0,0,1)</f>
        <v>0.95</v>
      </c>
      <c r="F172" s="5">
        <f t="shared" si="8"/>
        <v>2494.7474999999999</v>
      </c>
      <c r="G172" s="7">
        <f>Assumptions!$B$21</f>
        <v>3000</v>
      </c>
      <c r="H172" s="5">
        <f t="shared" si="9"/>
        <v>2494.7474999999999</v>
      </c>
      <c r="I172">
        <f>Tbl_RawData[[#This Row],[Unit_price]]*(1+Assumptions!$B$26)</f>
        <v>12</v>
      </c>
      <c r="J172" s="12">
        <f t="shared" si="10"/>
        <v>29936.97</v>
      </c>
      <c r="K172" t="str">
        <f t="shared" si="11"/>
        <v>Q1</v>
      </c>
      <c r="L172" s="1">
        <f>EOMONTH(Tbl_Forecast[[#This Row],[Date]],0)</f>
        <v>45351</v>
      </c>
    </row>
    <row r="173" spans="1:12" x14ac:dyDescent="0.3">
      <c r="A173" s="1">
        <v>45724</v>
      </c>
      <c r="B173" t="s">
        <v>5</v>
      </c>
      <c r="C173">
        <v>4025</v>
      </c>
      <c r="D173" s="3" cm="1">
        <f t="array" ref="D173">_xlfn.SWITCH(Assumptions!$B$2,"Base",Assumptions!$B$9,"Optimistic",Assumptions!$B$10,"Pessimistic",Assumptions!$B$11)</f>
        <v>0.05</v>
      </c>
      <c r="E173">
        <f>_xlfn.XLOOKUP(K173,Assumptions!$A$14:$A$17,Assumptions!$B$14:$B$17,0,0,1)</f>
        <v>0.95</v>
      </c>
      <c r="F173" s="5">
        <f t="shared" si="8"/>
        <v>4014.9375</v>
      </c>
      <c r="G173" s="7">
        <f>Assumptions!$B$21</f>
        <v>3000</v>
      </c>
      <c r="H173" s="5">
        <f t="shared" si="9"/>
        <v>3000</v>
      </c>
      <c r="I173">
        <f>Tbl_RawData[[#This Row],[Unit_price]]*(1+Assumptions!$B$26)</f>
        <v>13</v>
      </c>
      <c r="J173" s="12">
        <f t="shared" si="10"/>
        <v>39000</v>
      </c>
      <c r="K173" t="str">
        <f t="shared" si="11"/>
        <v>Q1</v>
      </c>
      <c r="L173" s="1">
        <f>EOMONTH(Tbl_Forecast[[#This Row],[Date]],0)</f>
        <v>45747</v>
      </c>
    </row>
    <row r="174" spans="1:12" x14ac:dyDescent="0.3">
      <c r="A174" s="1">
        <v>45636</v>
      </c>
      <c r="B174" t="s">
        <v>5</v>
      </c>
      <c r="C174">
        <v>4426</v>
      </c>
      <c r="D174" s="3" cm="1">
        <f t="array" ref="D174">_xlfn.SWITCH(Assumptions!$B$2,"Base",Assumptions!$B$9,"Optimistic",Assumptions!$B$10,"Pessimistic",Assumptions!$B$11)</f>
        <v>0.05</v>
      </c>
      <c r="E174">
        <f>_xlfn.XLOOKUP(K174,Assumptions!$A$14:$A$17,Assumptions!$B$14:$B$17,0,0,1)</f>
        <v>1.1499999999999999</v>
      </c>
      <c r="F174" s="5">
        <f t="shared" si="8"/>
        <v>5344.3949999999995</v>
      </c>
      <c r="G174" s="7">
        <f>Assumptions!$B$21</f>
        <v>3000</v>
      </c>
      <c r="H174" s="5">
        <f t="shared" si="9"/>
        <v>3000</v>
      </c>
      <c r="I174">
        <f>Tbl_RawData[[#This Row],[Unit_price]]*(1+Assumptions!$B$26)</f>
        <v>12.5</v>
      </c>
      <c r="J174" s="12">
        <f t="shared" si="10"/>
        <v>37500</v>
      </c>
      <c r="K174" t="str">
        <f t="shared" si="11"/>
        <v>Q4</v>
      </c>
      <c r="L174" s="1">
        <f>EOMONTH(Tbl_Forecast[[#This Row],[Date]],0)</f>
        <v>45657</v>
      </c>
    </row>
    <row r="175" spans="1:12" x14ac:dyDescent="0.3">
      <c r="A175" s="1">
        <v>45950</v>
      </c>
      <c r="B175" t="s">
        <v>6</v>
      </c>
      <c r="C175">
        <v>3993</v>
      </c>
      <c r="D175" s="3" cm="1">
        <f t="array" ref="D175">_xlfn.SWITCH(Assumptions!$B$2,"Base",Assumptions!$B$9,"Optimistic",Assumptions!$B$10,"Pessimistic",Assumptions!$B$11)</f>
        <v>0.05</v>
      </c>
      <c r="E175">
        <f>_xlfn.XLOOKUP(K175,Assumptions!$A$14:$A$17,Assumptions!$B$14:$B$17,0,0,1)</f>
        <v>1.1499999999999999</v>
      </c>
      <c r="F175" s="5">
        <f t="shared" si="8"/>
        <v>4821.5475000000006</v>
      </c>
      <c r="G175" s="7">
        <f>Assumptions!$B$21</f>
        <v>3000</v>
      </c>
      <c r="H175" s="5">
        <f t="shared" si="9"/>
        <v>3000</v>
      </c>
      <c r="I175">
        <f>Tbl_RawData[[#This Row],[Unit_price]]*(1+Assumptions!$B$26)</f>
        <v>13.5</v>
      </c>
      <c r="J175" s="12">
        <f t="shared" si="10"/>
        <v>40500</v>
      </c>
      <c r="K175" t="str">
        <f t="shared" si="11"/>
        <v>Q4</v>
      </c>
      <c r="L175" s="1">
        <f>EOMONTH(Tbl_Forecast[[#This Row],[Date]],0)</f>
        <v>45961</v>
      </c>
    </row>
    <row r="176" spans="1:12" x14ac:dyDescent="0.3">
      <c r="A176" s="1">
        <v>45388</v>
      </c>
      <c r="B176" t="s">
        <v>5</v>
      </c>
      <c r="C176">
        <v>3701</v>
      </c>
      <c r="D176" s="3" cm="1">
        <f t="array" ref="D176">_xlfn.SWITCH(Assumptions!$B$2,"Base",Assumptions!$B$9,"Optimistic",Assumptions!$B$10,"Pessimistic",Assumptions!$B$11)</f>
        <v>0.05</v>
      </c>
      <c r="E176">
        <f>_xlfn.XLOOKUP(K176,Assumptions!$A$14:$A$17,Assumptions!$B$14:$B$17,0,0,1)</f>
        <v>1</v>
      </c>
      <c r="F176" s="5">
        <f t="shared" si="8"/>
        <v>3886.05</v>
      </c>
      <c r="G176" s="7">
        <f>Assumptions!$B$21</f>
        <v>3000</v>
      </c>
      <c r="H176" s="5">
        <f t="shared" si="9"/>
        <v>3000</v>
      </c>
      <c r="I176">
        <f>Tbl_RawData[[#This Row],[Unit_price]]*(1+Assumptions!$B$26)</f>
        <v>12</v>
      </c>
      <c r="J176" s="12">
        <f t="shared" si="10"/>
        <v>36000</v>
      </c>
      <c r="K176" t="str">
        <f t="shared" si="11"/>
        <v>Q2</v>
      </c>
      <c r="L176" s="1">
        <f>EOMONTH(Tbl_Forecast[[#This Row],[Date]],0)</f>
        <v>45412</v>
      </c>
    </row>
    <row r="177" spans="1:12" x14ac:dyDescent="0.3">
      <c r="A177" s="1">
        <v>45796</v>
      </c>
      <c r="B177" t="s">
        <v>5</v>
      </c>
      <c r="C177">
        <v>2001</v>
      </c>
      <c r="D177" s="3" cm="1">
        <f t="array" ref="D177">_xlfn.SWITCH(Assumptions!$B$2,"Base",Assumptions!$B$9,"Optimistic",Assumptions!$B$10,"Pessimistic",Assumptions!$B$11)</f>
        <v>0.05</v>
      </c>
      <c r="E177">
        <f>_xlfn.XLOOKUP(K177,Assumptions!$A$14:$A$17,Assumptions!$B$14:$B$17,0,0,1)</f>
        <v>1</v>
      </c>
      <c r="F177" s="5">
        <f t="shared" si="8"/>
        <v>2101.0500000000002</v>
      </c>
      <c r="G177" s="7">
        <f>Assumptions!$B$21</f>
        <v>3000</v>
      </c>
      <c r="H177" s="5">
        <f t="shared" si="9"/>
        <v>2101.0500000000002</v>
      </c>
      <c r="I177">
        <f>Tbl_RawData[[#This Row],[Unit_price]]*(1+Assumptions!$B$26)</f>
        <v>13</v>
      </c>
      <c r="J177" s="12">
        <f t="shared" si="10"/>
        <v>27313.65</v>
      </c>
      <c r="K177" t="str">
        <f t="shared" si="11"/>
        <v>Q2</v>
      </c>
      <c r="L177" s="1">
        <f>EOMONTH(Tbl_Forecast[[#This Row],[Date]],0)</f>
        <v>45808</v>
      </c>
    </row>
    <row r="178" spans="1:12" x14ac:dyDescent="0.3">
      <c r="A178" s="1">
        <v>45587</v>
      </c>
      <c r="B178" t="s">
        <v>6</v>
      </c>
      <c r="C178">
        <v>2734</v>
      </c>
      <c r="D178" s="3" cm="1">
        <f t="array" ref="D178">_xlfn.SWITCH(Assumptions!$B$2,"Base",Assumptions!$B$9,"Optimistic",Assumptions!$B$10,"Pessimistic",Assumptions!$B$11)</f>
        <v>0.05</v>
      </c>
      <c r="E178">
        <f>_xlfn.XLOOKUP(K178,Assumptions!$A$14:$A$17,Assumptions!$B$14:$B$17,0,0,1)</f>
        <v>1.1499999999999999</v>
      </c>
      <c r="F178" s="5">
        <f t="shared" si="8"/>
        <v>3301.3049999999998</v>
      </c>
      <c r="G178" s="7">
        <f>Assumptions!$B$21</f>
        <v>3000</v>
      </c>
      <c r="H178" s="5">
        <f t="shared" si="9"/>
        <v>3000</v>
      </c>
      <c r="I178">
        <f>Tbl_RawData[[#This Row],[Unit_price]]*(1+Assumptions!$B$26)</f>
        <v>12.5</v>
      </c>
      <c r="J178" s="12">
        <f t="shared" si="10"/>
        <v>37500</v>
      </c>
      <c r="K178" t="str">
        <f t="shared" si="11"/>
        <v>Q4</v>
      </c>
      <c r="L178" s="1">
        <f>EOMONTH(Tbl_Forecast[[#This Row],[Date]],0)</f>
        <v>45596</v>
      </c>
    </row>
    <row r="179" spans="1:12" x14ac:dyDescent="0.3">
      <c r="A179" s="1">
        <v>45695</v>
      </c>
      <c r="B179" t="s">
        <v>4</v>
      </c>
      <c r="C179">
        <v>2665</v>
      </c>
      <c r="D179" s="3" cm="1">
        <f t="array" ref="D179">_xlfn.SWITCH(Assumptions!$B$2,"Base",Assumptions!$B$9,"Optimistic",Assumptions!$B$10,"Pessimistic",Assumptions!$B$11)</f>
        <v>0.05</v>
      </c>
      <c r="E179">
        <f>_xlfn.XLOOKUP(K179,Assumptions!$A$14:$A$17,Assumptions!$B$14:$B$17,0,0,1)</f>
        <v>0.95</v>
      </c>
      <c r="F179" s="5">
        <f t="shared" si="8"/>
        <v>2658.3375000000001</v>
      </c>
      <c r="G179" s="7">
        <f>Assumptions!$B$21</f>
        <v>3000</v>
      </c>
      <c r="H179" s="5">
        <f t="shared" si="9"/>
        <v>2658.3375000000001</v>
      </c>
      <c r="I179">
        <f>Tbl_RawData[[#This Row],[Unit_price]]*(1+Assumptions!$B$26)</f>
        <v>13</v>
      </c>
      <c r="J179" s="12">
        <f t="shared" si="10"/>
        <v>34558.387500000004</v>
      </c>
      <c r="K179" t="str">
        <f t="shared" si="11"/>
        <v>Q1</v>
      </c>
      <c r="L179" s="1">
        <f>EOMONTH(Tbl_Forecast[[#This Row],[Date]],0)</f>
        <v>45716</v>
      </c>
    </row>
    <row r="180" spans="1:12" x14ac:dyDescent="0.3">
      <c r="A180" s="1">
        <v>45326</v>
      </c>
      <c r="B180" t="s">
        <v>6</v>
      </c>
      <c r="C180">
        <v>2329</v>
      </c>
      <c r="D180" s="3" cm="1">
        <f t="array" ref="D180">_xlfn.SWITCH(Assumptions!$B$2,"Base",Assumptions!$B$9,"Optimistic",Assumptions!$B$10,"Pessimistic",Assumptions!$B$11)</f>
        <v>0.05</v>
      </c>
      <c r="E180">
        <f>_xlfn.XLOOKUP(K180,Assumptions!$A$14:$A$17,Assumptions!$B$14:$B$17,0,0,1)</f>
        <v>0.95</v>
      </c>
      <c r="F180" s="5">
        <f t="shared" si="8"/>
        <v>2323.1775000000002</v>
      </c>
      <c r="G180" s="7">
        <f>Assumptions!$B$21</f>
        <v>3000</v>
      </c>
      <c r="H180" s="5">
        <f t="shared" si="9"/>
        <v>2323.1775000000002</v>
      </c>
      <c r="I180">
        <f>Tbl_RawData[[#This Row],[Unit_price]]*(1+Assumptions!$B$26)</f>
        <v>12</v>
      </c>
      <c r="J180" s="12">
        <f t="shared" si="10"/>
        <v>27878.130000000005</v>
      </c>
      <c r="K180" t="str">
        <f t="shared" si="11"/>
        <v>Q1</v>
      </c>
      <c r="L180" s="1">
        <f>EOMONTH(Tbl_Forecast[[#This Row],[Date]],0)</f>
        <v>45351</v>
      </c>
    </row>
    <row r="181" spans="1:12" x14ac:dyDescent="0.3">
      <c r="A181" s="1">
        <v>45776</v>
      </c>
      <c r="B181" t="s">
        <v>5</v>
      </c>
      <c r="C181">
        <v>4009</v>
      </c>
      <c r="D181" s="3" cm="1">
        <f t="array" ref="D181">_xlfn.SWITCH(Assumptions!$B$2,"Base",Assumptions!$B$9,"Optimistic",Assumptions!$B$10,"Pessimistic",Assumptions!$B$11)</f>
        <v>0.05</v>
      </c>
      <c r="E181">
        <f>_xlfn.XLOOKUP(K181,Assumptions!$A$14:$A$17,Assumptions!$B$14:$B$17,0,0,1)</f>
        <v>1</v>
      </c>
      <c r="F181" s="5">
        <f t="shared" si="8"/>
        <v>4209.45</v>
      </c>
      <c r="G181" s="7">
        <f>Assumptions!$B$21</f>
        <v>3000</v>
      </c>
      <c r="H181" s="5">
        <f t="shared" si="9"/>
        <v>3000</v>
      </c>
      <c r="I181">
        <f>Tbl_RawData[[#This Row],[Unit_price]]*(1+Assumptions!$B$26)</f>
        <v>13</v>
      </c>
      <c r="J181" s="12">
        <f t="shared" si="10"/>
        <v>39000</v>
      </c>
      <c r="K181" t="str">
        <f t="shared" si="11"/>
        <v>Q2</v>
      </c>
      <c r="L181" s="1">
        <f>EOMONTH(Tbl_Forecast[[#This Row],[Date]],0)</f>
        <v>45777</v>
      </c>
    </row>
    <row r="182" spans="1:12" x14ac:dyDescent="0.3">
      <c r="A182" s="1">
        <v>45697</v>
      </c>
      <c r="B182" t="s">
        <v>5</v>
      </c>
      <c r="C182">
        <v>2632</v>
      </c>
      <c r="D182" s="3" cm="1">
        <f t="array" ref="D182">_xlfn.SWITCH(Assumptions!$B$2,"Base",Assumptions!$B$9,"Optimistic",Assumptions!$B$10,"Pessimistic",Assumptions!$B$11)</f>
        <v>0.05</v>
      </c>
      <c r="E182">
        <f>_xlfn.XLOOKUP(K182,Assumptions!$A$14:$A$17,Assumptions!$B$14:$B$17,0,0,1)</f>
        <v>0.95</v>
      </c>
      <c r="F182" s="5">
        <f t="shared" si="8"/>
        <v>2625.4199999999996</v>
      </c>
      <c r="G182" s="7">
        <f>Assumptions!$B$21</f>
        <v>3000</v>
      </c>
      <c r="H182" s="5">
        <f t="shared" si="9"/>
        <v>2625.4199999999996</v>
      </c>
      <c r="I182">
        <f>Tbl_RawData[[#This Row],[Unit_price]]*(1+Assumptions!$B$26)</f>
        <v>13</v>
      </c>
      <c r="J182" s="12">
        <f t="shared" si="10"/>
        <v>34130.459999999992</v>
      </c>
      <c r="K182" t="str">
        <f t="shared" si="11"/>
        <v>Q1</v>
      </c>
      <c r="L182" s="1">
        <f>EOMONTH(Tbl_Forecast[[#This Row],[Date]],0)</f>
        <v>45716</v>
      </c>
    </row>
    <row r="183" spans="1:12" x14ac:dyDescent="0.3">
      <c r="A183" s="1">
        <v>45499</v>
      </c>
      <c r="B183" t="s">
        <v>6</v>
      </c>
      <c r="C183">
        <v>4485</v>
      </c>
      <c r="D183" s="3" cm="1">
        <f t="array" ref="D183">_xlfn.SWITCH(Assumptions!$B$2,"Base",Assumptions!$B$9,"Optimistic",Assumptions!$B$10,"Pessimistic",Assumptions!$B$11)</f>
        <v>0.05</v>
      </c>
      <c r="E183">
        <f>_xlfn.XLOOKUP(K183,Assumptions!$A$14:$A$17,Assumptions!$B$14:$B$17,0,0,1)</f>
        <v>1.1000000000000001</v>
      </c>
      <c r="F183" s="5">
        <f t="shared" si="8"/>
        <v>5180.1750000000002</v>
      </c>
      <c r="G183" s="7">
        <f>Assumptions!$B$21</f>
        <v>3000</v>
      </c>
      <c r="H183" s="5">
        <f t="shared" si="9"/>
        <v>3000</v>
      </c>
      <c r="I183">
        <f>Tbl_RawData[[#This Row],[Unit_price]]*(1+Assumptions!$B$26)</f>
        <v>12.5</v>
      </c>
      <c r="J183" s="12">
        <f t="shared" si="10"/>
        <v>37500</v>
      </c>
      <c r="K183" t="str">
        <f t="shared" si="11"/>
        <v>Q3</v>
      </c>
      <c r="L183" s="1">
        <f>EOMONTH(Tbl_Forecast[[#This Row],[Date]],0)</f>
        <v>45504</v>
      </c>
    </row>
    <row r="184" spans="1:12" x14ac:dyDescent="0.3">
      <c r="A184" s="1">
        <v>45510</v>
      </c>
      <c r="B184" t="s">
        <v>4</v>
      </c>
      <c r="C184">
        <v>390</v>
      </c>
      <c r="D184" s="3" cm="1">
        <f t="array" ref="D184">_xlfn.SWITCH(Assumptions!$B$2,"Base",Assumptions!$B$9,"Optimistic",Assumptions!$B$10,"Pessimistic",Assumptions!$B$11)</f>
        <v>0.05</v>
      </c>
      <c r="E184">
        <f>_xlfn.XLOOKUP(K184,Assumptions!$A$14:$A$17,Assumptions!$B$14:$B$17,0,0,1)</f>
        <v>1.1000000000000001</v>
      </c>
      <c r="F184" s="5">
        <f t="shared" si="8"/>
        <v>450.45000000000005</v>
      </c>
      <c r="G184" s="7">
        <f>Assumptions!$B$21</f>
        <v>3000</v>
      </c>
      <c r="H184" s="5">
        <f t="shared" si="9"/>
        <v>450.45000000000005</v>
      </c>
      <c r="I184">
        <f>Tbl_RawData[[#This Row],[Unit_price]]*(1+Assumptions!$B$26)</f>
        <v>12.5</v>
      </c>
      <c r="J184" s="12">
        <f t="shared" si="10"/>
        <v>5630.6250000000009</v>
      </c>
      <c r="K184" t="str">
        <f t="shared" si="11"/>
        <v>Q3</v>
      </c>
      <c r="L184" s="1">
        <f>EOMONTH(Tbl_Forecast[[#This Row],[Date]],0)</f>
        <v>45535</v>
      </c>
    </row>
    <row r="185" spans="1:12" x14ac:dyDescent="0.3">
      <c r="A185" s="1">
        <v>45512</v>
      </c>
      <c r="B185" t="s">
        <v>4</v>
      </c>
      <c r="C185">
        <v>334</v>
      </c>
      <c r="D185" s="3" cm="1">
        <f t="array" ref="D185">_xlfn.SWITCH(Assumptions!$B$2,"Base",Assumptions!$B$9,"Optimistic",Assumptions!$B$10,"Pessimistic",Assumptions!$B$11)</f>
        <v>0.05</v>
      </c>
      <c r="E185">
        <f>_xlfn.XLOOKUP(K185,Assumptions!$A$14:$A$17,Assumptions!$B$14:$B$17,0,0,1)</f>
        <v>1.1000000000000001</v>
      </c>
      <c r="F185" s="5">
        <f t="shared" si="8"/>
        <v>385.77000000000004</v>
      </c>
      <c r="G185" s="7">
        <f>Assumptions!$B$21</f>
        <v>3000</v>
      </c>
      <c r="H185" s="5">
        <f t="shared" si="9"/>
        <v>385.77000000000004</v>
      </c>
      <c r="I185">
        <f>Tbl_RawData[[#This Row],[Unit_price]]*(1+Assumptions!$B$26)</f>
        <v>12.5</v>
      </c>
      <c r="J185" s="12">
        <f t="shared" si="10"/>
        <v>4822.1250000000009</v>
      </c>
      <c r="K185" t="str">
        <f t="shared" si="11"/>
        <v>Q3</v>
      </c>
      <c r="L185" s="1">
        <f>EOMONTH(Tbl_Forecast[[#This Row],[Date]],0)</f>
        <v>45535</v>
      </c>
    </row>
    <row r="186" spans="1:12" x14ac:dyDescent="0.3">
      <c r="A186" s="1">
        <v>45859</v>
      </c>
      <c r="B186" t="s">
        <v>4</v>
      </c>
      <c r="C186">
        <v>296</v>
      </c>
      <c r="D186" s="3" cm="1">
        <f t="array" ref="D186">_xlfn.SWITCH(Assumptions!$B$2,"Base",Assumptions!$B$9,"Optimistic",Assumptions!$B$10,"Pessimistic",Assumptions!$B$11)</f>
        <v>0.05</v>
      </c>
      <c r="E186">
        <f>_xlfn.XLOOKUP(K186,Assumptions!$A$14:$A$17,Assumptions!$B$14:$B$17,0,0,1)</f>
        <v>1.1000000000000001</v>
      </c>
      <c r="F186" s="5">
        <f t="shared" si="8"/>
        <v>341.88000000000005</v>
      </c>
      <c r="G186" s="7">
        <f>Assumptions!$B$21</f>
        <v>3000</v>
      </c>
      <c r="H186" s="5">
        <f t="shared" si="9"/>
        <v>341.88000000000005</v>
      </c>
      <c r="I186">
        <f>Tbl_RawData[[#This Row],[Unit_price]]*(1+Assumptions!$B$26)</f>
        <v>13.5</v>
      </c>
      <c r="J186" s="12">
        <f t="shared" si="10"/>
        <v>4615.380000000001</v>
      </c>
      <c r="K186" t="str">
        <f t="shared" si="11"/>
        <v>Q3</v>
      </c>
      <c r="L186" s="1">
        <f>EOMONTH(Tbl_Forecast[[#This Row],[Date]],0)</f>
        <v>45869</v>
      </c>
    </row>
    <row r="187" spans="1:12" x14ac:dyDescent="0.3">
      <c r="A187" s="1">
        <v>45722</v>
      </c>
      <c r="B187" t="s">
        <v>4</v>
      </c>
      <c r="C187">
        <v>1502</v>
      </c>
      <c r="D187" s="3" cm="1">
        <f t="array" ref="D187">_xlfn.SWITCH(Assumptions!$B$2,"Base",Assumptions!$B$9,"Optimistic",Assumptions!$B$10,"Pessimistic",Assumptions!$B$11)</f>
        <v>0.05</v>
      </c>
      <c r="E187">
        <f>_xlfn.XLOOKUP(K187,Assumptions!$A$14:$A$17,Assumptions!$B$14:$B$17,0,0,1)</f>
        <v>0.95</v>
      </c>
      <c r="F187" s="5">
        <f t="shared" si="8"/>
        <v>1498.2450000000001</v>
      </c>
      <c r="G187" s="7">
        <f>Assumptions!$B$21</f>
        <v>3000</v>
      </c>
      <c r="H187" s="5">
        <f t="shared" si="9"/>
        <v>1498.2450000000001</v>
      </c>
      <c r="I187">
        <f>Tbl_RawData[[#This Row],[Unit_price]]*(1+Assumptions!$B$26)</f>
        <v>13</v>
      </c>
      <c r="J187" s="12">
        <f t="shared" si="10"/>
        <v>19477.185000000001</v>
      </c>
      <c r="K187" t="str">
        <f t="shared" si="11"/>
        <v>Q1</v>
      </c>
      <c r="L187" s="1">
        <f>EOMONTH(Tbl_Forecast[[#This Row],[Date]],0)</f>
        <v>45747</v>
      </c>
    </row>
    <row r="188" spans="1:12" x14ac:dyDescent="0.3">
      <c r="A188" s="1">
        <v>45329</v>
      </c>
      <c r="B188" t="s">
        <v>4</v>
      </c>
      <c r="C188">
        <v>1983</v>
      </c>
      <c r="D188" s="3" cm="1">
        <f t="array" ref="D188">_xlfn.SWITCH(Assumptions!$B$2,"Base",Assumptions!$B$9,"Optimistic",Assumptions!$B$10,"Pessimistic",Assumptions!$B$11)</f>
        <v>0.05</v>
      </c>
      <c r="E188">
        <f>_xlfn.XLOOKUP(K188,Assumptions!$A$14:$A$17,Assumptions!$B$14:$B$17,0,0,1)</f>
        <v>0.95</v>
      </c>
      <c r="F188" s="5">
        <f t="shared" si="8"/>
        <v>1978.0425</v>
      </c>
      <c r="G188" s="7">
        <f>Assumptions!$B$21</f>
        <v>3000</v>
      </c>
      <c r="H188" s="5">
        <f t="shared" si="9"/>
        <v>1978.0425</v>
      </c>
      <c r="I188">
        <f>Tbl_RawData[[#This Row],[Unit_price]]*(1+Assumptions!$B$26)</f>
        <v>12</v>
      </c>
      <c r="J188" s="12">
        <f t="shared" si="10"/>
        <v>23736.510000000002</v>
      </c>
      <c r="K188" t="str">
        <f t="shared" si="11"/>
        <v>Q1</v>
      </c>
      <c r="L188" s="1">
        <f>EOMONTH(Tbl_Forecast[[#This Row],[Date]],0)</f>
        <v>45351</v>
      </c>
    </row>
    <row r="189" spans="1:12" x14ac:dyDescent="0.3">
      <c r="A189" s="1">
        <v>45865</v>
      </c>
      <c r="B189" t="s">
        <v>4</v>
      </c>
      <c r="C189">
        <v>1412</v>
      </c>
      <c r="D189" s="3" cm="1">
        <f t="array" ref="D189">_xlfn.SWITCH(Assumptions!$B$2,"Base",Assumptions!$B$9,"Optimistic",Assumptions!$B$10,"Pessimistic",Assumptions!$B$11)</f>
        <v>0.05</v>
      </c>
      <c r="E189">
        <f>_xlfn.XLOOKUP(K189,Assumptions!$A$14:$A$17,Assumptions!$B$14:$B$17,0,0,1)</f>
        <v>1.1000000000000001</v>
      </c>
      <c r="F189" s="5">
        <f t="shared" si="8"/>
        <v>1630.8600000000004</v>
      </c>
      <c r="G189" s="7">
        <f>Assumptions!$B$21</f>
        <v>3000</v>
      </c>
      <c r="H189" s="5">
        <f t="shared" si="9"/>
        <v>1630.8600000000004</v>
      </c>
      <c r="I189">
        <f>Tbl_RawData[[#This Row],[Unit_price]]*(1+Assumptions!$B$26)</f>
        <v>13.5</v>
      </c>
      <c r="J189" s="12">
        <f t="shared" si="10"/>
        <v>22016.610000000004</v>
      </c>
      <c r="K189" t="str">
        <f t="shared" si="11"/>
        <v>Q3</v>
      </c>
      <c r="L189" s="1">
        <f>EOMONTH(Tbl_Forecast[[#This Row],[Date]],0)</f>
        <v>45869</v>
      </c>
    </row>
    <row r="190" spans="1:12" x14ac:dyDescent="0.3">
      <c r="A190" s="1">
        <v>45966</v>
      </c>
      <c r="B190" t="s">
        <v>6</v>
      </c>
      <c r="C190">
        <v>3665</v>
      </c>
      <c r="D190" s="3" cm="1">
        <f t="array" ref="D190">_xlfn.SWITCH(Assumptions!$B$2,"Base",Assumptions!$B$9,"Optimistic",Assumptions!$B$10,"Pessimistic",Assumptions!$B$11)</f>
        <v>0.05</v>
      </c>
      <c r="E190">
        <f>_xlfn.XLOOKUP(K190,Assumptions!$A$14:$A$17,Assumptions!$B$14:$B$17,0,0,1)</f>
        <v>1.1499999999999999</v>
      </c>
      <c r="F190" s="5">
        <f t="shared" si="8"/>
        <v>4425.4874999999993</v>
      </c>
      <c r="G190" s="7">
        <f>Assumptions!$B$21</f>
        <v>3000</v>
      </c>
      <c r="H190" s="5">
        <f t="shared" si="9"/>
        <v>3000</v>
      </c>
      <c r="I190">
        <f>Tbl_RawData[[#This Row],[Unit_price]]*(1+Assumptions!$B$26)</f>
        <v>13.5</v>
      </c>
      <c r="J190" s="12">
        <f t="shared" si="10"/>
        <v>40500</v>
      </c>
      <c r="K190" t="str">
        <f t="shared" si="11"/>
        <v>Q4</v>
      </c>
      <c r="L190" s="1">
        <f>EOMONTH(Tbl_Forecast[[#This Row],[Date]],0)</f>
        <v>45991</v>
      </c>
    </row>
    <row r="191" spans="1:12" x14ac:dyDescent="0.3">
      <c r="A191" s="1">
        <v>45722</v>
      </c>
      <c r="B191" t="s">
        <v>5</v>
      </c>
      <c r="C191">
        <v>2192</v>
      </c>
      <c r="D191" s="3" cm="1">
        <f t="array" ref="D191">_xlfn.SWITCH(Assumptions!$B$2,"Base",Assumptions!$B$9,"Optimistic",Assumptions!$B$10,"Pessimistic",Assumptions!$B$11)</f>
        <v>0.05</v>
      </c>
      <c r="E191">
        <f>_xlfn.XLOOKUP(K191,Assumptions!$A$14:$A$17,Assumptions!$B$14:$B$17,0,0,1)</f>
        <v>0.95</v>
      </c>
      <c r="F191" s="5">
        <f t="shared" si="8"/>
        <v>2186.52</v>
      </c>
      <c r="G191" s="7">
        <f>Assumptions!$B$21</f>
        <v>3000</v>
      </c>
      <c r="H191" s="5">
        <f t="shared" si="9"/>
        <v>2186.52</v>
      </c>
      <c r="I191">
        <f>Tbl_RawData[[#This Row],[Unit_price]]*(1+Assumptions!$B$26)</f>
        <v>13</v>
      </c>
      <c r="J191" s="12">
        <f t="shared" si="10"/>
        <v>28424.76</v>
      </c>
      <c r="K191" t="str">
        <f t="shared" si="11"/>
        <v>Q1</v>
      </c>
      <c r="L191" s="1">
        <f>EOMONTH(Tbl_Forecast[[#This Row],[Date]],0)</f>
        <v>45747</v>
      </c>
    </row>
    <row r="192" spans="1:12" x14ac:dyDescent="0.3">
      <c r="A192" s="1">
        <v>45841</v>
      </c>
      <c r="B192" t="s">
        <v>5</v>
      </c>
      <c r="C192">
        <v>4232</v>
      </c>
      <c r="D192" s="3" cm="1">
        <f t="array" ref="D192">_xlfn.SWITCH(Assumptions!$B$2,"Base",Assumptions!$B$9,"Optimistic",Assumptions!$B$10,"Pessimistic",Assumptions!$B$11)</f>
        <v>0.05</v>
      </c>
      <c r="E192">
        <f>_xlfn.XLOOKUP(K192,Assumptions!$A$14:$A$17,Assumptions!$B$14:$B$17,0,0,1)</f>
        <v>1.1000000000000001</v>
      </c>
      <c r="F192" s="5">
        <f t="shared" si="8"/>
        <v>4887.9600000000009</v>
      </c>
      <c r="G192" s="7">
        <f>Assumptions!$B$21</f>
        <v>3000</v>
      </c>
      <c r="H192" s="5">
        <f t="shared" si="9"/>
        <v>3000</v>
      </c>
      <c r="I192">
        <f>Tbl_RawData[[#This Row],[Unit_price]]*(1+Assumptions!$B$26)</f>
        <v>13.5</v>
      </c>
      <c r="J192" s="12">
        <f t="shared" si="10"/>
        <v>40500</v>
      </c>
      <c r="K192" t="str">
        <f t="shared" si="11"/>
        <v>Q3</v>
      </c>
      <c r="L192" s="1">
        <f>EOMONTH(Tbl_Forecast[[#This Row],[Date]],0)</f>
        <v>45869</v>
      </c>
    </row>
    <row r="193" spans="1:12" x14ac:dyDescent="0.3">
      <c r="A193" s="1">
        <v>45346</v>
      </c>
      <c r="B193" t="s">
        <v>5</v>
      </c>
      <c r="C193">
        <v>1921</v>
      </c>
      <c r="D193" s="3" cm="1">
        <f t="array" ref="D193">_xlfn.SWITCH(Assumptions!$B$2,"Base",Assumptions!$B$9,"Optimistic",Assumptions!$B$10,"Pessimistic",Assumptions!$B$11)</f>
        <v>0.05</v>
      </c>
      <c r="E193">
        <f>_xlfn.XLOOKUP(K193,Assumptions!$A$14:$A$17,Assumptions!$B$14:$B$17,0,0,1)</f>
        <v>0.95</v>
      </c>
      <c r="F193" s="5">
        <f t="shared" si="8"/>
        <v>1916.1975</v>
      </c>
      <c r="G193" s="7">
        <f>Assumptions!$B$21</f>
        <v>3000</v>
      </c>
      <c r="H193" s="5">
        <f t="shared" si="9"/>
        <v>1916.1975</v>
      </c>
      <c r="I193">
        <f>Tbl_RawData[[#This Row],[Unit_price]]*(1+Assumptions!$B$26)</f>
        <v>12</v>
      </c>
      <c r="J193" s="12">
        <f t="shared" si="10"/>
        <v>22994.37</v>
      </c>
      <c r="K193" t="str">
        <f t="shared" si="11"/>
        <v>Q1</v>
      </c>
      <c r="L193" s="1">
        <f>EOMONTH(Tbl_Forecast[[#This Row],[Date]],0)</f>
        <v>45351</v>
      </c>
    </row>
    <row r="194" spans="1:12" x14ac:dyDescent="0.3">
      <c r="A194" s="1">
        <v>45670</v>
      </c>
      <c r="B194" t="s">
        <v>4</v>
      </c>
      <c r="C194">
        <v>2291</v>
      </c>
      <c r="D194" s="3" cm="1">
        <f t="array" ref="D194">_xlfn.SWITCH(Assumptions!$B$2,"Base",Assumptions!$B$9,"Optimistic",Assumptions!$B$10,"Pessimistic",Assumptions!$B$11)</f>
        <v>0.05</v>
      </c>
      <c r="E194">
        <f>_xlfn.XLOOKUP(K194,Assumptions!$A$14:$A$17,Assumptions!$B$14:$B$17,0,0,1)</f>
        <v>0.95</v>
      </c>
      <c r="F194" s="5">
        <f t="shared" si="8"/>
        <v>2285.2725</v>
      </c>
      <c r="G194" s="7">
        <f>Assumptions!$B$21</f>
        <v>3000</v>
      </c>
      <c r="H194" s="5">
        <f t="shared" si="9"/>
        <v>2285.2725</v>
      </c>
      <c r="I194">
        <f>Tbl_RawData[[#This Row],[Unit_price]]*(1+Assumptions!$B$26)</f>
        <v>13</v>
      </c>
      <c r="J194" s="12">
        <f t="shared" si="10"/>
        <v>29708.5425</v>
      </c>
      <c r="K194" t="str">
        <f t="shared" si="11"/>
        <v>Q1</v>
      </c>
      <c r="L194" s="1">
        <f>EOMONTH(Tbl_Forecast[[#This Row],[Date]],0)</f>
        <v>45688</v>
      </c>
    </row>
    <row r="195" spans="1:12" x14ac:dyDescent="0.3">
      <c r="A195" s="1">
        <v>45932</v>
      </c>
      <c r="B195" t="s">
        <v>6</v>
      </c>
      <c r="C195">
        <v>4179</v>
      </c>
      <c r="D195" s="3" cm="1">
        <f t="array" ref="D195">_xlfn.SWITCH(Assumptions!$B$2,"Base",Assumptions!$B$9,"Optimistic",Assumptions!$B$10,"Pessimistic",Assumptions!$B$11)</f>
        <v>0.05</v>
      </c>
      <c r="E195">
        <f>_xlfn.XLOOKUP(K195,Assumptions!$A$14:$A$17,Assumptions!$B$14:$B$17,0,0,1)</f>
        <v>1.1499999999999999</v>
      </c>
      <c r="F195" s="5">
        <f t="shared" ref="F195:F251" si="12">C195*(1+D195)*E195</f>
        <v>5046.142499999999</v>
      </c>
      <c r="G195" s="7">
        <f>Assumptions!$B$21</f>
        <v>3000</v>
      </c>
      <c r="H195" s="5">
        <f t="shared" ref="H195:H251" si="13">MIN(F195,G195)</f>
        <v>3000</v>
      </c>
      <c r="I195">
        <f>Tbl_RawData[[#This Row],[Unit_price]]*(1+Assumptions!$B$26)</f>
        <v>13.5</v>
      </c>
      <c r="J195" s="12">
        <f t="shared" ref="J195:J251" si="14">H195*I195</f>
        <v>40500</v>
      </c>
      <c r="K195" t="str">
        <f t="shared" ref="K195:K251" si="15">"Q"&amp;ROUNDUP(MONTH(A195)/3,0)</f>
        <v>Q4</v>
      </c>
      <c r="L195" s="1">
        <f>EOMONTH(Tbl_Forecast[[#This Row],[Date]],0)</f>
        <v>45961</v>
      </c>
    </row>
    <row r="196" spans="1:12" x14ac:dyDescent="0.3">
      <c r="A196" s="1">
        <v>45746</v>
      </c>
      <c r="B196" t="s">
        <v>5</v>
      </c>
      <c r="C196">
        <v>2404</v>
      </c>
      <c r="D196" s="3" cm="1">
        <f t="array" ref="D196">_xlfn.SWITCH(Assumptions!$B$2,"Base",Assumptions!$B$9,"Optimistic",Assumptions!$B$10,"Pessimistic",Assumptions!$B$11)</f>
        <v>0.05</v>
      </c>
      <c r="E196">
        <f>_xlfn.XLOOKUP(K196,Assumptions!$A$14:$A$17,Assumptions!$B$14:$B$17,0,0,1)</f>
        <v>0.95</v>
      </c>
      <c r="F196" s="5">
        <f t="shared" si="12"/>
        <v>2397.9900000000002</v>
      </c>
      <c r="G196" s="7">
        <f>Assumptions!$B$21</f>
        <v>3000</v>
      </c>
      <c r="H196" s="5">
        <f t="shared" si="13"/>
        <v>2397.9900000000002</v>
      </c>
      <c r="I196">
        <f>Tbl_RawData[[#This Row],[Unit_price]]*(1+Assumptions!$B$26)</f>
        <v>13</v>
      </c>
      <c r="J196" s="12">
        <f t="shared" si="14"/>
        <v>31173.870000000003</v>
      </c>
      <c r="K196" t="str">
        <f t="shared" si="15"/>
        <v>Q1</v>
      </c>
      <c r="L196" s="1">
        <f>EOMONTH(Tbl_Forecast[[#This Row],[Date]],0)</f>
        <v>45747</v>
      </c>
    </row>
    <row r="197" spans="1:12" x14ac:dyDescent="0.3">
      <c r="A197" s="1">
        <v>45496</v>
      </c>
      <c r="B197" t="s">
        <v>6</v>
      </c>
      <c r="C197">
        <v>1130</v>
      </c>
      <c r="D197" s="3" cm="1">
        <f t="array" ref="D197">_xlfn.SWITCH(Assumptions!$B$2,"Base",Assumptions!$B$9,"Optimistic",Assumptions!$B$10,"Pessimistic",Assumptions!$B$11)</f>
        <v>0.05</v>
      </c>
      <c r="E197">
        <f>_xlfn.XLOOKUP(K197,Assumptions!$A$14:$A$17,Assumptions!$B$14:$B$17,0,0,1)</f>
        <v>1.1000000000000001</v>
      </c>
      <c r="F197" s="5">
        <f t="shared" si="12"/>
        <v>1305.1500000000001</v>
      </c>
      <c r="G197" s="7">
        <f>Assumptions!$B$21</f>
        <v>3000</v>
      </c>
      <c r="H197" s="5">
        <f t="shared" si="13"/>
        <v>1305.1500000000001</v>
      </c>
      <c r="I197">
        <f>Tbl_RawData[[#This Row],[Unit_price]]*(1+Assumptions!$B$26)</f>
        <v>12.5</v>
      </c>
      <c r="J197" s="12">
        <f t="shared" si="14"/>
        <v>16314.375000000002</v>
      </c>
      <c r="K197" t="str">
        <f t="shared" si="15"/>
        <v>Q3</v>
      </c>
      <c r="L197" s="1">
        <f>EOMONTH(Tbl_Forecast[[#This Row],[Date]],0)</f>
        <v>45504</v>
      </c>
    </row>
    <row r="198" spans="1:12" x14ac:dyDescent="0.3">
      <c r="A198" s="1">
        <v>45322</v>
      </c>
      <c r="B198" t="s">
        <v>5</v>
      </c>
      <c r="C198">
        <v>1857</v>
      </c>
      <c r="D198" s="3" cm="1">
        <f t="array" ref="D198">_xlfn.SWITCH(Assumptions!$B$2,"Base",Assumptions!$B$9,"Optimistic",Assumptions!$B$10,"Pessimistic",Assumptions!$B$11)</f>
        <v>0.05</v>
      </c>
      <c r="E198">
        <f>_xlfn.XLOOKUP(K198,Assumptions!$A$14:$A$17,Assumptions!$B$14:$B$17,0,0,1)</f>
        <v>0.95</v>
      </c>
      <c r="F198" s="5">
        <f t="shared" si="12"/>
        <v>1852.3575000000001</v>
      </c>
      <c r="G198" s="7">
        <f>Assumptions!$B$21</f>
        <v>3000</v>
      </c>
      <c r="H198" s="5">
        <f t="shared" si="13"/>
        <v>1852.3575000000001</v>
      </c>
      <c r="I198">
        <f>Tbl_RawData[[#This Row],[Unit_price]]*(1+Assumptions!$B$26)</f>
        <v>12</v>
      </c>
      <c r="J198" s="12">
        <f t="shared" si="14"/>
        <v>22228.29</v>
      </c>
      <c r="K198" t="str">
        <f t="shared" si="15"/>
        <v>Q1</v>
      </c>
      <c r="L198" s="1">
        <f>EOMONTH(Tbl_Forecast[[#This Row],[Date]],0)</f>
        <v>45322</v>
      </c>
    </row>
    <row r="199" spans="1:12" x14ac:dyDescent="0.3">
      <c r="A199" s="1">
        <v>45599</v>
      </c>
      <c r="B199" t="s">
        <v>4</v>
      </c>
      <c r="C199">
        <v>4286</v>
      </c>
      <c r="D199" s="3" cm="1">
        <f t="array" ref="D199">_xlfn.SWITCH(Assumptions!$B$2,"Base",Assumptions!$B$9,"Optimistic",Assumptions!$B$10,"Pessimistic",Assumptions!$B$11)</f>
        <v>0.05</v>
      </c>
      <c r="E199">
        <f>_xlfn.XLOOKUP(K199,Assumptions!$A$14:$A$17,Assumptions!$B$14:$B$17,0,0,1)</f>
        <v>1.1499999999999999</v>
      </c>
      <c r="F199" s="5">
        <f t="shared" si="12"/>
        <v>5175.3450000000003</v>
      </c>
      <c r="G199" s="7">
        <f>Assumptions!$B$21</f>
        <v>3000</v>
      </c>
      <c r="H199" s="5">
        <f t="shared" si="13"/>
        <v>3000</v>
      </c>
      <c r="I199">
        <f>Tbl_RawData[[#This Row],[Unit_price]]*(1+Assumptions!$B$26)</f>
        <v>12.5</v>
      </c>
      <c r="J199" s="12">
        <f t="shared" si="14"/>
        <v>37500</v>
      </c>
      <c r="K199" t="str">
        <f t="shared" si="15"/>
        <v>Q4</v>
      </c>
      <c r="L199" s="1">
        <f>EOMONTH(Tbl_Forecast[[#This Row],[Date]],0)</f>
        <v>45626</v>
      </c>
    </row>
    <row r="200" spans="1:12" x14ac:dyDescent="0.3">
      <c r="A200" s="1">
        <v>45791</v>
      </c>
      <c r="B200" t="s">
        <v>6</v>
      </c>
      <c r="C200">
        <v>990</v>
      </c>
      <c r="D200" s="3" cm="1">
        <f t="array" ref="D200">_xlfn.SWITCH(Assumptions!$B$2,"Base",Assumptions!$B$9,"Optimistic",Assumptions!$B$10,"Pessimistic",Assumptions!$B$11)</f>
        <v>0.05</v>
      </c>
      <c r="E200">
        <f>_xlfn.XLOOKUP(K200,Assumptions!$A$14:$A$17,Assumptions!$B$14:$B$17,0,0,1)</f>
        <v>1</v>
      </c>
      <c r="F200" s="5">
        <f t="shared" si="12"/>
        <v>1039.5</v>
      </c>
      <c r="G200" s="7">
        <f>Assumptions!$B$21</f>
        <v>3000</v>
      </c>
      <c r="H200" s="5">
        <f t="shared" si="13"/>
        <v>1039.5</v>
      </c>
      <c r="I200">
        <f>Tbl_RawData[[#This Row],[Unit_price]]*(1+Assumptions!$B$26)</f>
        <v>13</v>
      </c>
      <c r="J200" s="12">
        <f t="shared" si="14"/>
        <v>13513.5</v>
      </c>
      <c r="K200" t="str">
        <f t="shared" si="15"/>
        <v>Q2</v>
      </c>
      <c r="L200" s="1">
        <f>EOMONTH(Tbl_Forecast[[#This Row],[Date]],0)</f>
        <v>45808</v>
      </c>
    </row>
    <row r="201" spans="1:12" x14ac:dyDescent="0.3">
      <c r="A201" s="1">
        <v>45489</v>
      </c>
      <c r="B201" t="s">
        <v>4</v>
      </c>
      <c r="C201">
        <v>1756</v>
      </c>
      <c r="D201" s="3" cm="1">
        <f t="array" ref="D201">_xlfn.SWITCH(Assumptions!$B$2,"Base",Assumptions!$B$9,"Optimistic",Assumptions!$B$10,"Pessimistic",Assumptions!$B$11)</f>
        <v>0.05</v>
      </c>
      <c r="E201">
        <f>_xlfn.XLOOKUP(K201,Assumptions!$A$14:$A$17,Assumptions!$B$14:$B$17,0,0,1)</f>
        <v>1.1000000000000001</v>
      </c>
      <c r="F201" s="5">
        <f t="shared" si="12"/>
        <v>2028.1800000000003</v>
      </c>
      <c r="G201" s="7">
        <f>Assumptions!$B$21</f>
        <v>3000</v>
      </c>
      <c r="H201" s="5">
        <f t="shared" si="13"/>
        <v>2028.1800000000003</v>
      </c>
      <c r="I201">
        <f>Tbl_RawData[[#This Row],[Unit_price]]*(1+Assumptions!$B$26)</f>
        <v>12.5</v>
      </c>
      <c r="J201" s="12">
        <f t="shared" si="14"/>
        <v>25352.250000000004</v>
      </c>
      <c r="K201" t="str">
        <f t="shared" si="15"/>
        <v>Q3</v>
      </c>
      <c r="L201" s="1">
        <f>EOMONTH(Tbl_Forecast[[#This Row],[Date]],0)</f>
        <v>45504</v>
      </c>
    </row>
    <row r="202" spans="1:12" x14ac:dyDescent="0.3">
      <c r="A202" s="1">
        <v>45918</v>
      </c>
      <c r="B202" t="s">
        <v>4</v>
      </c>
      <c r="C202">
        <v>2638</v>
      </c>
      <c r="D202" s="3" cm="1">
        <f t="array" ref="D202">_xlfn.SWITCH(Assumptions!$B$2,"Base",Assumptions!$B$9,"Optimistic",Assumptions!$B$10,"Pessimistic",Assumptions!$B$11)</f>
        <v>0.05</v>
      </c>
      <c r="E202">
        <f>_xlfn.XLOOKUP(K202,Assumptions!$A$14:$A$17,Assumptions!$B$14:$B$17,0,0,1)</f>
        <v>1.1000000000000001</v>
      </c>
      <c r="F202" s="5">
        <f t="shared" si="12"/>
        <v>3046.8900000000003</v>
      </c>
      <c r="G202" s="7">
        <f>Assumptions!$B$21</f>
        <v>3000</v>
      </c>
      <c r="H202" s="5">
        <f t="shared" si="13"/>
        <v>3000</v>
      </c>
      <c r="I202">
        <f>Tbl_RawData[[#This Row],[Unit_price]]*(1+Assumptions!$B$26)</f>
        <v>13.5</v>
      </c>
      <c r="J202" s="12">
        <f t="shared" si="14"/>
        <v>40500</v>
      </c>
      <c r="K202" t="str">
        <f t="shared" si="15"/>
        <v>Q3</v>
      </c>
      <c r="L202" s="1">
        <f>EOMONTH(Tbl_Forecast[[#This Row],[Date]],0)</f>
        <v>45930</v>
      </c>
    </row>
    <row r="203" spans="1:12" x14ac:dyDescent="0.3">
      <c r="A203" s="1">
        <v>45316</v>
      </c>
      <c r="B203" t="s">
        <v>6</v>
      </c>
      <c r="C203">
        <v>1893</v>
      </c>
      <c r="D203" s="3" cm="1">
        <f t="array" ref="D203">_xlfn.SWITCH(Assumptions!$B$2,"Base",Assumptions!$B$9,"Optimistic",Assumptions!$B$10,"Pessimistic",Assumptions!$B$11)</f>
        <v>0.05</v>
      </c>
      <c r="E203">
        <f>_xlfn.XLOOKUP(K203,Assumptions!$A$14:$A$17,Assumptions!$B$14:$B$17,0,0,1)</f>
        <v>0.95</v>
      </c>
      <c r="F203" s="5">
        <f t="shared" si="12"/>
        <v>1888.2674999999999</v>
      </c>
      <c r="G203" s="7">
        <f>Assumptions!$B$21</f>
        <v>3000</v>
      </c>
      <c r="H203" s="5">
        <f t="shared" si="13"/>
        <v>1888.2674999999999</v>
      </c>
      <c r="I203">
        <f>Tbl_RawData[[#This Row],[Unit_price]]*(1+Assumptions!$B$26)</f>
        <v>12</v>
      </c>
      <c r="J203" s="12">
        <f t="shared" si="14"/>
        <v>22659.21</v>
      </c>
      <c r="K203" t="str">
        <f t="shared" si="15"/>
        <v>Q1</v>
      </c>
      <c r="L203" s="1">
        <f>EOMONTH(Tbl_Forecast[[#This Row],[Date]],0)</f>
        <v>45322</v>
      </c>
    </row>
    <row r="204" spans="1:12" x14ac:dyDescent="0.3">
      <c r="A204" s="1">
        <v>45899</v>
      </c>
      <c r="B204" t="s">
        <v>4</v>
      </c>
      <c r="C204">
        <v>863</v>
      </c>
      <c r="D204" s="3" cm="1">
        <f t="array" ref="D204">_xlfn.SWITCH(Assumptions!$B$2,"Base",Assumptions!$B$9,"Optimistic",Assumptions!$B$10,"Pessimistic",Assumptions!$B$11)</f>
        <v>0.05</v>
      </c>
      <c r="E204">
        <f>_xlfn.XLOOKUP(K204,Assumptions!$A$14:$A$17,Assumptions!$B$14:$B$17,0,0,1)</f>
        <v>1.1000000000000001</v>
      </c>
      <c r="F204" s="5">
        <f t="shared" si="12"/>
        <v>996.76500000000021</v>
      </c>
      <c r="G204" s="7">
        <f>Assumptions!$B$21</f>
        <v>3000</v>
      </c>
      <c r="H204" s="5">
        <f t="shared" si="13"/>
        <v>996.76500000000021</v>
      </c>
      <c r="I204">
        <f>Tbl_RawData[[#This Row],[Unit_price]]*(1+Assumptions!$B$26)</f>
        <v>13.5</v>
      </c>
      <c r="J204" s="12">
        <f t="shared" si="14"/>
        <v>13456.327500000003</v>
      </c>
      <c r="K204" t="str">
        <f t="shared" si="15"/>
        <v>Q3</v>
      </c>
      <c r="L204" s="1">
        <f>EOMONTH(Tbl_Forecast[[#This Row],[Date]],0)</f>
        <v>45900</v>
      </c>
    </row>
    <row r="205" spans="1:12" x14ac:dyDescent="0.3">
      <c r="A205" s="1">
        <v>45685</v>
      </c>
      <c r="B205" t="s">
        <v>6</v>
      </c>
      <c r="C205">
        <v>2587</v>
      </c>
      <c r="D205" s="3" cm="1">
        <f t="array" ref="D205">_xlfn.SWITCH(Assumptions!$B$2,"Base",Assumptions!$B$9,"Optimistic",Assumptions!$B$10,"Pessimistic",Assumptions!$B$11)</f>
        <v>0.05</v>
      </c>
      <c r="E205">
        <f>_xlfn.XLOOKUP(K205,Assumptions!$A$14:$A$17,Assumptions!$B$14:$B$17,0,0,1)</f>
        <v>0.95</v>
      </c>
      <c r="F205" s="5">
        <f t="shared" si="12"/>
        <v>2580.5324999999998</v>
      </c>
      <c r="G205" s="7">
        <f>Assumptions!$B$21</f>
        <v>3000</v>
      </c>
      <c r="H205" s="5">
        <f t="shared" si="13"/>
        <v>2580.5324999999998</v>
      </c>
      <c r="I205">
        <f>Tbl_RawData[[#This Row],[Unit_price]]*(1+Assumptions!$B$26)</f>
        <v>13</v>
      </c>
      <c r="J205" s="12">
        <f t="shared" si="14"/>
        <v>33546.922500000001</v>
      </c>
      <c r="K205" t="str">
        <f t="shared" si="15"/>
        <v>Q1</v>
      </c>
      <c r="L205" s="1">
        <f>EOMONTH(Tbl_Forecast[[#This Row],[Date]],0)</f>
        <v>45688</v>
      </c>
    </row>
    <row r="206" spans="1:12" x14ac:dyDescent="0.3">
      <c r="A206" s="1">
        <v>45832</v>
      </c>
      <c r="B206" t="s">
        <v>6</v>
      </c>
      <c r="C206">
        <v>1032</v>
      </c>
      <c r="D206" s="3" cm="1">
        <f t="array" ref="D206">_xlfn.SWITCH(Assumptions!$B$2,"Base",Assumptions!$B$9,"Optimistic",Assumptions!$B$10,"Pessimistic",Assumptions!$B$11)</f>
        <v>0.05</v>
      </c>
      <c r="E206">
        <f>_xlfn.XLOOKUP(K206,Assumptions!$A$14:$A$17,Assumptions!$B$14:$B$17,0,0,1)</f>
        <v>1</v>
      </c>
      <c r="F206" s="5">
        <f t="shared" si="12"/>
        <v>1083.6000000000001</v>
      </c>
      <c r="G206" s="7">
        <f>Assumptions!$B$21</f>
        <v>3000</v>
      </c>
      <c r="H206" s="5">
        <f t="shared" si="13"/>
        <v>1083.6000000000001</v>
      </c>
      <c r="I206">
        <f>Tbl_RawData[[#This Row],[Unit_price]]*(1+Assumptions!$B$26)</f>
        <v>13</v>
      </c>
      <c r="J206" s="12">
        <f t="shared" si="14"/>
        <v>14086.800000000001</v>
      </c>
      <c r="K206" t="str">
        <f t="shared" si="15"/>
        <v>Q2</v>
      </c>
      <c r="L206" s="1">
        <f>EOMONTH(Tbl_Forecast[[#This Row],[Date]],0)</f>
        <v>45838</v>
      </c>
    </row>
    <row r="207" spans="1:12" x14ac:dyDescent="0.3">
      <c r="A207" s="1">
        <v>45372</v>
      </c>
      <c r="B207" t="s">
        <v>6</v>
      </c>
      <c r="C207">
        <v>3267</v>
      </c>
      <c r="D207" s="3" cm="1">
        <f t="array" ref="D207">_xlfn.SWITCH(Assumptions!$B$2,"Base",Assumptions!$B$9,"Optimistic",Assumptions!$B$10,"Pessimistic",Assumptions!$B$11)</f>
        <v>0.05</v>
      </c>
      <c r="E207">
        <f>_xlfn.XLOOKUP(K207,Assumptions!$A$14:$A$17,Assumptions!$B$14:$B$17,0,0,1)</f>
        <v>0.95</v>
      </c>
      <c r="F207" s="5">
        <f t="shared" si="12"/>
        <v>3258.8325</v>
      </c>
      <c r="G207" s="7">
        <f>Assumptions!$B$21</f>
        <v>3000</v>
      </c>
      <c r="H207" s="5">
        <f t="shared" si="13"/>
        <v>3000</v>
      </c>
      <c r="I207">
        <f>Tbl_RawData[[#This Row],[Unit_price]]*(1+Assumptions!$B$26)</f>
        <v>12</v>
      </c>
      <c r="J207" s="12">
        <f t="shared" si="14"/>
        <v>36000</v>
      </c>
      <c r="K207" t="str">
        <f t="shared" si="15"/>
        <v>Q1</v>
      </c>
      <c r="L207" s="1">
        <f>EOMONTH(Tbl_Forecast[[#This Row],[Date]],0)</f>
        <v>45382</v>
      </c>
    </row>
    <row r="208" spans="1:12" x14ac:dyDescent="0.3">
      <c r="A208" s="1">
        <v>45964</v>
      </c>
      <c r="B208" t="s">
        <v>5</v>
      </c>
      <c r="C208">
        <v>1888</v>
      </c>
      <c r="D208" s="3" cm="1">
        <f t="array" ref="D208">_xlfn.SWITCH(Assumptions!$B$2,"Base",Assumptions!$B$9,"Optimistic",Assumptions!$B$10,"Pessimistic",Assumptions!$B$11)</f>
        <v>0.05</v>
      </c>
      <c r="E208">
        <f>_xlfn.XLOOKUP(K208,Assumptions!$A$14:$A$17,Assumptions!$B$14:$B$17,0,0,1)</f>
        <v>1.1499999999999999</v>
      </c>
      <c r="F208" s="5">
        <f t="shared" si="12"/>
        <v>2279.7599999999998</v>
      </c>
      <c r="G208" s="7">
        <f>Assumptions!$B$21</f>
        <v>3000</v>
      </c>
      <c r="H208" s="5">
        <f t="shared" si="13"/>
        <v>2279.7599999999998</v>
      </c>
      <c r="I208">
        <f>Tbl_RawData[[#This Row],[Unit_price]]*(1+Assumptions!$B$26)</f>
        <v>13.5</v>
      </c>
      <c r="J208" s="12">
        <f t="shared" si="14"/>
        <v>30776.76</v>
      </c>
      <c r="K208" t="str">
        <f t="shared" si="15"/>
        <v>Q4</v>
      </c>
      <c r="L208" s="1">
        <f>EOMONTH(Tbl_Forecast[[#This Row],[Date]],0)</f>
        <v>45991</v>
      </c>
    </row>
    <row r="209" spans="1:12" x14ac:dyDescent="0.3">
      <c r="A209" s="1">
        <v>45470</v>
      </c>
      <c r="B209" t="s">
        <v>5</v>
      </c>
      <c r="C209">
        <v>3526</v>
      </c>
      <c r="D209" s="3" cm="1">
        <f t="array" ref="D209">_xlfn.SWITCH(Assumptions!$B$2,"Base",Assumptions!$B$9,"Optimistic",Assumptions!$B$10,"Pessimistic",Assumptions!$B$11)</f>
        <v>0.05</v>
      </c>
      <c r="E209">
        <f>_xlfn.XLOOKUP(K209,Assumptions!$A$14:$A$17,Assumptions!$B$14:$B$17,0,0,1)</f>
        <v>1</v>
      </c>
      <c r="F209" s="5">
        <f t="shared" si="12"/>
        <v>3702.3</v>
      </c>
      <c r="G209" s="7">
        <f>Assumptions!$B$21</f>
        <v>3000</v>
      </c>
      <c r="H209" s="5">
        <f t="shared" si="13"/>
        <v>3000</v>
      </c>
      <c r="I209">
        <f>Tbl_RawData[[#This Row],[Unit_price]]*(1+Assumptions!$B$26)</f>
        <v>12</v>
      </c>
      <c r="J209" s="12">
        <f t="shared" si="14"/>
        <v>36000</v>
      </c>
      <c r="K209" t="str">
        <f t="shared" si="15"/>
        <v>Q2</v>
      </c>
      <c r="L209" s="1">
        <f>EOMONTH(Tbl_Forecast[[#This Row],[Date]],0)</f>
        <v>45473</v>
      </c>
    </row>
    <row r="210" spans="1:12" x14ac:dyDescent="0.3">
      <c r="A210" s="1">
        <v>45503</v>
      </c>
      <c r="B210" t="s">
        <v>6</v>
      </c>
      <c r="C210">
        <v>2312</v>
      </c>
      <c r="D210" s="3" cm="1">
        <f t="array" ref="D210">_xlfn.SWITCH(Assumptions!$B$2,"Base",Assumptions!$B$9,"Optimistic",Assumptions!$B$10,"Pessimistic",Assumptions!$B$11)</f>
        <v>0.05</v>
      </c>
      <c r="E210">
        <f>_xlfn.XLOOKUP(K210,Assumptions!$A$14:$A$17,Assumptions!$B$14:$B$17,0,0,1)</f>
        <v>1.1000000000000001</v>
      </c>
      <c r="F210" s="5">
        <f t="shared" si="12"/>
        <v>2670.36</v>
      </c>
      <c r="G210" s="7">
        <f>Assumptions!$B$21</f>
        <v>3000</v>
      </c>
      <c r="H210" s="5">
        <f t="shared" si="13"/>
        <v>2670.36</v>
      </c>
      <c r="I210">
        <f>Tbl_RawData[[#This Row],[Unit_price]]*(1+Assumptions!$B$26)</f>
        <v>12.5</v>
      </c>
      <c r="J210" s="12">
        <f t="shared" si="14"/>
        <v>33379.5</v>
      </c>
      <c r="K210" t="str">
        <f t="shared" si="15"/>
        <v>Q3</v>
      </c>
      <c r="L210" s="1">
        <f>EOMONTH(Tbl_Forecast[[#This Row],[Date]],0)</f>
        <v>45504</v>
      </c>
    </row>
    <row r="211" spans="1:12" x14ac:dyDescent="0.3">
      <c r="A211" s="1">
        <v>45342</v>
      </c>
      <c r="B211" t="s">
        <v>5</v>
      </c>
      <c r="C211">
        <v>2143</v>
      </c>
      <c r="D211" s="3" cm="1">
        <f t="array" ref="D211">_xlfn.SWITCH(Assumptions!$B$2,"Base",Assumptions!$B$9,"Optimistic",Assumptions!$B$10,"Pessimistic",Assumptions!$B$11)</f>
        <v>0.05</v>
      </c>
      <c r="E211">
        <f>_xlfn.XLOOKUP(K211,Assumptions!$A$14:$A$17,Assumptions!$B$14:$B$17,0,0,1)</f>
        <v>0.95</v>
      </c>
      <c r="F211" s="5">
        <f t="shared" si="12"/>
        <v>2137.6424999999999</v>
      </c>
      <c r="G211" s="7">
        <f>Assumptions!$B$21</f>
        <v>3000</v>
      </c>
      <c r="H211" s="5">
        <f t="shared" si="13"/>
        <v>2137.6424999999999</v>
      </c>
      <c r="I211">
        <f>Tbl_RawData[[#This Row],[Unit_price]]*(1+Assumptions!$B$26)</f>
        <v>12</v>
      </c>
      <c r="J211" s="12">
        <f t="shared" si="14"/>
        <v>25651.71</v>
      </c>
      <c r="K211" t="str">
        <f t="shared" si="15"/>
        <v>Q1</v>
      </c>
      <c r="L211" s="1">
        <f>EOMONTH(Tbl_Forecast[[#This Row],[Date]],0)</f>
        <v>45351</v>
      </c>
    </row>
    <row r="212" spans="1:12" x14ac:dyDescent="0.3">
      <c r="A212" s="1">
        <v>45391</v>
      </c>
      <c r="B212" t="s">
        <v>4</v>
      </c>
      <c r="C212">
        <v>4496</v>
      </c>
      <c r="D212" s="3" cm="1">
        <f t="array" ref="D212">_xlfn.SWITCH(Assumptions!$B$2,"Base",Assumptions!$B$9,"Optimistic",Assumptions!$B$10,"Pessimistic",Assumptions!$B$11)</f>
        <v>0.05</v>
      </c>
      <c r="E212">
        <f>_xlfn.XLOOKUP(K212,Assumptions!$A$14:$A$17,Assumptions!$B$14:$B$17,0,0,1)</f>
        <v>1</v>
      </c>
      <c r="F212" s="5">
        <f t="shared" si="12"/>
        <v>4720.8</v>
      </c>
      <c r="G212" s="7">
        <f>Assumptions!$B$21</f>
        <v>3000</v>
      </c>
      <c r="H212" s="5">
        <f t="shared" si="13"/>
        <v>3000</v>
      </c>
      <c r="I212">
        <f>Tbl_RawData[[#This Row],[Unit_price]]*(1+Assumptions!$B$26)</f>
        <v>12</v>
      </c>
      <c r="J212" s="12">
        <f t="shared" si="14"/>
        <v>36000</v>
      </c>
      <c r="K212" t="str">
        <f t="shared" si="15"/>
        <v>Q2</v>
      </c>
      <c r="L212" s="1">
        <f>EOMONTH(Tbl_Forecast[[#This Row],[Date]],0)</f>
        <v>45412</v>
      </c>
    </row>
    <row r="213" spans="1:12" x14ac:dyDescent="0.3">
      <c r="A213" s="1">
        <v>45419</v>
      </c>
      <c r="B213" t="s">
        <v>6</v>
      </c>
      <c r="C213">
        <v>2454</v>
      </c>
      <c r="D213" s="3" cm="1">
        <f t="array" ref="D213">_xlfn.SWITCH(Assumptions!$B$2,"Base",Assumptions!$B$9,"Optimistic",Assumptions!$B$10,"Pessimistic",Assumptions!$B$11)</f>
        <v>0.05</v>
      </c>
      <c r="E213">
        <f>_xlfn.XLOOKUP(K213,Assumptions!$A$14:$A$17,Assumptions!$B$14:$B$17,0,0,1)</f>
        <v>1</v>
      </c>
      <c r="F213" s="5">
        <f t="shared" si="12"/>
        <v>2576.7000000000003</v>
      </c>
      <c r="G213" s="7">
        <f>Assumptions!$B$21</f>
        <v>3000</v>
      </c>
      <c r="H213" s="5">
        <f t="shared" si="13"/>
        <v>2576.7000000000003</v>
      </c>
      <c r="I213">
        <f>Tbl_RawData[[#This Row],[Unit_price]]*(1+Assumptions!$B$26)</f>
        <v>12</v>
      </c>
      <c r="J213" s="12">
        <f t="shared" si="14"/>
        <v>30920.400000000001</v>
      </c>
      <c r="K213" t="str">
        <f t="shared" si="15"/>
        <v>Q2</v>
      </c>
      <c r="L213" s="1">
        <f>EOMONTH(Tbl_Forecast[[#This Row],[Date]],0)</f>
        <v>45443</v>
      </c>
    </row>
    <row r="214" spans="1:12" x14ac:dyDescent="0.3">
      <c r="A214" s="1">
        <v>45478</v>
      </c>
      <c r="B214" t="s">
        <v>6</v>
      </c>
      <c r="C214">
        <v>1495</v>
      </c>
      <c r="D214" s="3" cm="1">
        <f t="array" ref="D214">_xlfn.SWITCH(Assumptions!$B$2,"Base",Assumptions!$B$9,"Optimistic",Assumptions!$B$10,"Pessimistic",Assumptions!$B$11)</f>
        <v>0.05</v>
      </c>
      <c r="E214">
        <f>_xlfn.XLOOKUP(K214,Assumptions!$A$14:$A$17,Assumptions!$B$14:$B$17,0,0,1)</f>
        <v>1.1000000000000001</v>
      </c>
      <c r="F214" s="5">
        <f t="shared" si="12"/>
        <v>1726.7250000000001</v>
      </c>
      <c r="G214" s="7">
        <f>Assumptions!$B$21</f>
        <v>3000</v>
      </c>
      <c r="H214" s="5">
        <f t="shared" si="13"/>
        <v>1726.7250000000001</v>
      </c>
      <c r="I214">
        <f>Tbl_RawData[[#This Row],[Unit_price]]*(1+Assumptions!$B$26)</f>
        <v>12.5</v>
      </c>
      <c r="J214" s="12">
        <f t="shared" si="14"/>
        <v>21584.0625</v>
      </c>
      <c r="K214" t="str">
        <f t="shared" si="15"/>
        <v>Q3</v>
      </c>
      <c r="L214" s="1">
        <f>EOMONTH(Tbl_Forecast[[#This Row],[Date]],0)</f>
        <v>45504</v>
      </c>
    </row>
    <row r="215" spans="1:12" x14ac:dyDescent="0.3">
      <c r="A215" s="1">
        <v>45347</v>
      </c>
      <c r="B215" t="s">
        <v>5</v>
      </c>
      <c r="C215">
        <v>908</v>
      </c>
      <c r="D215" s="3" cm="1">
        <f t="array" ref="D215">_xlfn.SWITCH(Assumptions!$B$2,"Base",Assumptions!$B$9,"Optimistic",Assumptions!$B$10,"Pessimistic",Assumptions!$B$11)</f>
        <v>0.05</v>
      </c>
      <c r="E215">
        <f>_xlfn.XLOOKUP(K215,Assumptions!$A$14:$A$17,Assumptions!$B$14:$B$17,0,0,1)</f>
        <v>0.95</v>
      </c>
      <c r="F215" s="5">
        <f t="shared" si="12"/>
        <v>905.73</v>
      </c>
      <c r="G215" s="7">
        <f>Assumptions!$B$21</f>
        <v>3000</v>
      </c>
      <c r="H215" s="5">
        <f t="shared" si="13"/>
        <v>905.73</v>
      </c>
      <c r="I215">
        <f>Tbl_RawData[[#This Row],[Unit_price]]*(1+Assumptions!$B$26)</f>
        <v>12</v>
      </c>
      <c r="J215" s="12">
        <f t="shared" si="14"/>
        <v>10868.76</v>
      </c>
      <c r="K215" t="str">
        <f t="shared" si="15"/>
        <v>Q1</v>
      </c>
      <c r="L215" s="1">
        <f>EOMONTH(Tbl_Forecast[[#This Row],[Date]],0)</f>
        <v>45351</v>
      </c>
    </row>
    <row r="216" spans="1:12" x14ac:dyDescent="0.3">
      <c r="A216" s="1">
        <v>45799</v>
      </c>
      <c r="B216" t="s">
        <v>6</v>
      </c>
      <c r="C216">
        <v>4852</v>
      </c>
      <c r="D216" s="3" cm="1">
        <f t="array" ref="D216">_xlfn.SWITCH(Assumptions!$B$2,"Base",Assumptions!$B$9,"Optimistic",Assumptions!$B$10,"Pessimistic",Assumptions!$B$11)</f>
        <v>0.05</v>
      </c>
      <c r="E216">
        <f>_xlfn.XLOOKUP(K216,Assumptions!$A$14:$A$17,Assumptions!$B$14:$B$17,0,0,1)</f>
        <v>1</v>
      </c>
      <c r="F216" s="5">
        <f t="shared" si="12"/>
        <v>5094.6000000000004</v>
      </c>
      <c r="G216" s="7">
        <f>Assumptions!$B$21</f>
        <v>3000</v>
      </c>
      <c r="H216" s="5">
        <f t="shared" si="13"/>
        <v>3000</v>
      </c>
      <c r="I216">
        <f>Tbl_RawData[[#This Row],[Unit_price]]*(1+Assumptions!$B$26)</f>
        <v>13</v>
      </c>
      <c r="J216" s="12">
        <f t="shared" si="14"/>
        <v>39000</v>
      </c>
      <c r="K216" t="str">
        <f t="shared" si="15"/>
        <v>Q2</v>
      </c>
      <c r="L216" s="1">
        <f>EOMONTH(Tbl_Forecast[[#This Row],[Date]],0)</f>
        <v>45808</v>
      </c>
    </row>
    <row r="217" spans="1:12" x14ac:dyDescent="0.3">
      <c r="A217" s="1">
        <v>45555</v>
      </c>
      <c r="B217" t="s">
        <v>5</v>
      </c>
      <c r="C217">
        <v>4226</v>
      </c>
      <c r="D217" s="3" cm="1">
        <f t="array" ref="D217">_xlfn.SWITCH(Assumptions!$B$2,"Base",Assumptions!$B$9,"Optimistic",Assumptions!$B$10,"Pessimistic",Assumptions!$B$11)</f>
        <v>0.05</v>
      </c>
      <c r="E217">
        <f>_xlfn.XLOOKUP(K217,Assumptions!$A$14:$A$17,Assumptions!$B$14:$B$17,0,0,1)</f>
        <v>1.1000000000000001</v>
      </c>
      <c r="F217" s="5">
        <f t="shared" si="12"/>
        <v>4881.0300000000007</v>
      </c>
      <c r="G217" s="7">
        <f>Assumptions!$B$21</f>
        <v>3000</v>
      </c>
      <c r="H217" s="5">
        <f t="shared" si="13"/>
        <v>3000</v>
      </c>
      <c r="I217">
        <f>Tbl_RawData[[#This Row],[Unit_price]]*(1+Assumptions!$B$26)</f>
        <v>12.5</v>
      </c>
      <c r="J217" s="12">
        <f t="shared" si="14"/>
        <v>37500</v>
      </c>
      <c r="K217" t="str">
        <f t="shared" si="15"/>
        <v>Q3</v>
      </c>
      <c r="L217" s="1">
        <f>EOMONTH(Tbl_Forecast[[#This Row],[Date]],0)</f>
        <v>45565</v>
      </c>
    </row>
    <row r="218" spans="1:12" x14ac:dyDescent="0.3">
      <c r="A218" s="1">
        <v>45294</v>
      </c>
      <c r="B218" t="s">
        <v>5</v>
      </c>
      <c r="C218">
        <v>3756</v>
      </c>
      <c r="D218" s="3" cm="1">
        <f t="array" ref="D218">_xlfn.SWITCH(Assumptions!$B$2,"Base",Assumptions!$B$9,"Optimistic",Assumptions!$B$10,"Pessimistic",Assumptions!$B$11)</f>
        <v>0.05</v>
      </c>
      <c r="E218">
        <f>_xlfn.XLOOKUP(K218,Assumptions!$A$14:$A$17,Assumptions!$B$14:$B$17,0,0,1)</f>
        <v>0.95</v>
      </c>
      <c r="F218" s="5">
        <f t="shared" si="12"/>
        <v>3746.61</v>
      </c>
      <c r="G218" s="7">
        <f>Assumptions!$B$21</f>
        <v>3000</v>
      </c>
      <c r="H218" s="5">
        <f t="shared" si="13"/>
        <v>3000</v>
      </c>
      <c r="I218">
        <f>Tbl_RawData[[#This Row],[Unit_price]]*(1+Assumptions!$B$26)</f>
        <v>12</v>
      </c>
      <c r="J218" s="12">
        <f t="shared" si="14"/>
        <v>36000</v>
      </c>
      <c r="K218" t="str">
        <f t="shared" si="15"/>
        <v>Q1</v>
      </c>
      <c r="L218" s="1">
        <f>EOMONTH(Tbl_Forecast[[#This Row],[Date]],0)</f>
        <v>45322</v>
      </c>
    </row>
    <row r="219" spans="1:12" x14ac:dyDescent="0.3">
      <c r="A219" s="1">
        <v>45660</v>
      </c>
      <c r="B219" t="s">
        <v>6</v>
      </c>
      <c r="C219">
        <v>1182</v>
      </c>
      <c r="D219" s="3" cm="1">
        <f t="array" ref="D219">_xlfn.SWITCH(Assumptions!$B$2,"Base",Assumptions!$B$9,"Optimistic",Assumptions!$B$10,"Pessimistic",Assumptions!$B$11)</f>
        <v>0.05</v>
      </c>
      <c r="E219">
        <f>_xlfn.XLOOKUP(K219,Assumptions!$A$14:$A$17,Assumptions!$B$14:$B$17,0,0,1)</f>
        <v>0.95</v>
      </c>
      <c r="F219" s="5">
        <f t="shared" si="12"/>
        <v>1179.0450000000001</v>
      </c>
      <c r="G219" s="7">
        <f>Assumptions!$B$21</f>
        <v>3000</v>
      </c>
      <c r="H219" s="5">
        <f t="shared" si="13"/>
        <v>1179.0450000000001</v>
      </c>
      <c r="I219">
        <f>Tbl_RawData[[#This Row],[Unit_price]]*(1+Assumptions!$B$26)</f>
        <v>13</v>
      </c>
      <c r="J219" s="12">
        <f t="shared" si="14"/>
        <v>15327.585000000001</v>
      </c>
      <c r="K219" t="str">
        <f t="shared" si="15"/>
        <v>Q1</v>
      </c>
      <c r="L219" s="1">
        <f>EOMONTH(Tbl_Forecast[[#This Row],[Date]],0)</f>
        <v>45688</v>
      </c>
    </row>
    <row r="220" spans="1:12" x14ac:dyDescent="0.3">
      <c r="A220" s="1">
        <v>45403</v>
      </c>
      <c r="B220" t="s">
        <v>5</v>
      </c>
      <c r="C220">
        <v>282</v>
      </c>
      <c r="D220" s="3" cm="1">
        <f t="array" ref="D220">_xlfn.SWITCH(Assumptions!$B$2,"Base",Assumptions!$B$9,"Optimistic",Assumptions!$B$10,"Pessimistic",Assumptions!$B$11)</f>
        <v>0.05</v>
      </c>
      <c r="E220">
        <f>_xlfn.XLOOKUP(K220,Assumptions!$A$14:$A$17,Assumptions!$B$14:$B$17,0,0,1)</f>
        <v>1</v>
      </c>
      <c r="F220" s="5">
        <f t="shared" si="12"/>
        <v>296.10000000000002</v>
      </c>
      <c r="G220" s="7">
        <f>Assumptions!$B$21</f>
        <v>3000</v>
      </c>
      <c r="H220" s="5">
        <f t="shared" si="13"/>
        <v>296.10000000000002</v>
      </c>
      <c r="I220">
        <f>Tbl_RawData[[#This Row],[Unit_price]]*(1+Assumptions!$B$26)</f>
        <v>12</v>
      </c>
      <c r="J220" s="12">
        <f t="shared" si="14"/>
        <v>3553.2000000000003</v>
      </c>
      <c r="K220" t="str">
        <f t="shared" si="15"/>
        <v>Q2</v>
      </c>
      <c r="L220" s="1">
        <f>EOMONTH(Tbl_Forecast[[#This Row],[Date]],0)</f>
        <v>45412</v>
      </c>
    </row>
    <row r="221" spans="1:12" x14ac:dyDescent="0.3">
      <c r="A221" s="1">
        <v>45778</v>
      </c>
      <c r="B221" t="s">
        <v>5</v>
      </c>
      <c r="C221">
        <v>1209</v>
      </c>
      <c r="D221" s="3" cm="1">
        <f t="array" ref="D221">_xlfn.SWITCH(Assumptions!$B$2,"Base",Assumptions!$B$9,"Optimistic",Assumptions!$B$10,"Pessimistic",Assumptions!$B$11)</f>
        <v>0.05</v>
      </c>
      <c r="E221">
        <f>_xlfn.XLOOKUP(K221,Assumptions!$A$14:$A$17,Assumptions!$B$14:$B$17,0,0,1)</f>
        <v>1</v>
      </c>
      <c r="F221" s="5">
        <f t="shared" si="12"/>
        <v>1269.45</v>
      </c>
      <c r="G221" s="7">
        <f>Assumptions!$B$21</f>
        <v>3000</v>
      </c>
      <c r="H221" s="5">
        <f t="shared" si="13"/>
        <v>1269.45</v>
      </c>
      <c r="I221">
        <f>Tbl_RawData[[#This Row],[Unit_price]]*(1+Assumptions!$B$26)</f>
        <v>13</v>
      </c>
      <c r="J221" s="12">
        <f t="shared" si="14"/>
        <v>16502.850000000002</v>
      </c>
      <c r="K221" t="str">
        <f t="shared" si="15"/>
        <v>Q2</v>
      </c>
      <c r="L221" s="1">
        <f>EOMONTH(Tbl_Forecast[[#This Row],[Date]],0)</f>
        <v>45808</v>
      </c>
    </row>
    <row r="222" spans="1:12" x14ac:dyDescent="0.3">
      <c r="A222" s="1">
        <v>45471</v>
      </c>
      <c r="B222" t="s">
        <v>5</v>
      </c>
      <c r="C222">
        <v>1827</v>
      </c>
      <c r="D222" s="3" cm="1">
        <f t="array" ref="D222">_xlfn.SWITCH(Assumptions!$B$2,"Base",Assumptions!$B$9,"Optimistic",Assumptions!$B$10,"Pessimistic",Assumptions!$B$11)</f>
        <v>0.05</v>
      </c>
      <c r="E222">
        <f>_xlfn.XLOOKUP(K222,Assumptions!$A$14:$A$17,Assumptions!$B$14:$B$17,0,0,1)</f>
        <v>1</v>
      </c>
      <c r="F222" s="5">
        <f t="shared" si="12"/>
        <v>1918.3500000000001</v>
      </c>
      <c r="G222" s="7">
        <f>Assumptions!$B$21</f>
        <v>3000</v>
      </c>
      <c r="H222" s="5">
        <f t="shared" si="13"/>
        <v>1918.3500000000001</v>
      </c>
      <c r="I222">
        <f>Tbl_RawData[[#This Row],[Unit_price]]*(1+Assumptions!$B$26)</f>
        <v>12</v>
      </c>
      <c r="J222" s="12">
        <f t="shared" si="14"/>
        <v>23020.2</v>
      </c>
      <c r="K222" t="str">
        <f t="shared" si="15"/>
        <v>Q2</v>
      </c>
      <c r="L222" s="1">
        <f>EOMONTH(Tbl_Forecast[[#This Row],[Date]],0)</f>
        <v>45473</v>
      </c>
    </row>
    <row r="223" spans="1:12" x14ac:dyDescent="0.3">
      <c r="A223" s="1">
        <v>45908</v>
      </c>
      <c r="B223" t="s">
        <v>4</v>
      </c>
      <c r="C223">
        <v>994</v>
      </c>
      <c r="D223" s="3" cm="1">
        <f t="array" ref="D223">_xlfn.SWITCH(Assumptions!$B$2,"Base",Assumptions!$B$9,"Optimistic",Assumptions!$B$10,"Pessimistic",Assumptions!$B$11)</f>
        <v>0.05</v>
      </c>
      <c r="E223">
        <f>_xlfn.XLOOKUP(K223,Assumptions!$A$14:$A$17,Assumptions!$B$14:$B$17,0,0,1)</f>
        <v>1.1000000000000001</v>
      </c>
      <c r="F223" s="5">
        <f t="shared" si="12"/>
        <v>1148.0700000000002</v>
      </c>
      <c r="G223" s="7">
        <f>Assumptions!$B$21</f>
        <v>3000</v>
      </c>
      <c r="H223" s="5">
        <f t="shared" si="13"/>
        <v>1148.0700000000002</v>
      </c>
      <c r="I223">
        <f>Tbl_RawData[[#This Row],[Unit_price]]*(1+Assumptions!$B$26)</f>
        <v>13.5</v>
      </c>
      <c r="J223" s="12">
        <f t="shared" si="14"/>
        <v>15498.945000000002</v>
      </c>
      <c r="K223" t="str">
        <f t="shared" si="15"/>
        <v>Q3</v>
      </c>
      <c r="L223" s="1">
        <f>EOMONTH(Tbl_Forecast[[#This Row],[Date]],0)</f>
        <v>45930</v>
      </c>
    </row>
    <row r="224" spans="1:12" x14ac:dyDescent="0.3">
      <c r="A224" s="1">
        <v>45308</v>
      </c>
      <c r="B224" t="s">
        <v>6</v>
      </c>
      <c r="C224">
        <v>320</v>
      </c>
      <c r="D224" s="3" cm="1">
        <f t="array" ref="D224">_xlfn.SWITCH(Assumptions!$B$2,"Base",Assumptions!$B$9,"Optimistic",Assumptions!$B$10,"Pessimistic",Assumptions!$B$11)</f>
        <v>0.05</v>
      </c>
      <c r="E224">
        <f>_xlfn.XLOOKUP(K224,Assumptions!$A$14:$A$17,Assumptions!$B$14:$B$17,0,0,1)</f>
        <v>0.95</v>
      </c>
      <c r="F224" s="5">
        <f t="shared" si="12"/>
        <v>319.2</v>
      </c>
      <c r="G224" s="7">
        <f>Assumptions!$B$21</f>
        <v>3000</v>
      </c>
      <c r="H224" s="5">
        <f t="shared" si="13"/>
        <v>319.2</v>
      </c>
      <c r="I224">
        <f>Tbl_RawData[[#This Row],[Unit_price]]*(1+Assumptions!$B$26)</f>
        <v>12</v>
      </c>
      <c r="J224" s="12">
        <f t="shared" si="14"/>
        <v>3830.3999999999996</v>
      </c>
      <c r="K224" t="str">
        <f t="shared" si="15"/>
        <v>Q1</v>
      </c>
      <c r="L224" s="1">
        <f>EOMONTH(Tbl_Forecast[[#This Row],[Date]],0)</f>
        <v>45322</v>
      </c>
    </row>
    <row r="225" spans="1:12" x14ac:dyDescent="0.3">
      <c r="A225" s="1">
        <v>45698</v>
      </c>
      <c r="B225" t="s">
        <v>4</v>
      </c>
      <c r="C225">
        <v>3433</v>
      </c>
      <c r="D225" s="3" cm="1">
        <f t="array" ref="D225">_xlfn.SWITCH(Assumptions!$B$2,"Base",Assumptions!$B$9,"Optimistic",Assumptions!$B$10,"Pessimistic",Assumptions!$B$11)</f>
        <v>0.05</v>
      </c>
      <c r="E225">
        <f>_xlfn.XLOOKUP(K225,Assumptions!$A$14:$A$17,Assumptions!$B$14:$B$17,0,0,1)</f>
        <v>0.95</v>
      </c>
      <c r="F225" s="5">
        <f t="shared" si="12"/>
        <v>3424.4175</v>
      </c>
      <c r="G225" s="7">
        <f>Assumptions!$B$21</f>
        <v>3000</v>
      </c>
      <c r="H225" s="5">
        <f t="shared" si="13"/>
        <v>3000</v>
      </c>
      <c r="I225">
        <f>Tbl_RawData[[#This Row],[Unit_price]]*(1+Assumptions!$B$26)</f>
        <v>13</v>
      </c>
      <c r="J225" s="12">
        <f t="shared" si="14"/>
        <v>39000</v>
      </c>
      <c r="K225" t="str">
        <f t="shared" si="15"/>
        <v>Q1</v>
      </c>
      <c r="L225" s="1">
        <f>EOMONTH(Tbl_Forecast[[#This Row],[Date]],0)</f>
        <v>45716</v>
      </c>
    </row>
    <row r="226" spans="1:12" x14ac:dyDescent="0.3">
      <c r="A226" s="1">
        <v>45500</v>
      </c>
      <c r="B226" t="s">
        <v>6</v>
      </c>
      <c r="C226">
        <v>3043</v>
      </c>
      <c r="D226" s="3" cm="1">
        <f t="array" ref="D226">_xlfn.SWITCH(Assumptions!$B$2,"Base",Assumptions!$B$9,"Optimistic",Assumptions!$B$10,"Pessimistic",Assumptions!$B$11)</f>
        <v>0.05</v>
      </c>
      <c r="E226">
        <f>_xlfn.XLOOKUP(K226,Assumptions!$A$14:$A$17,Assumptions!$B$14:$B$17,0,0,1)</f>
        <v>1.1000000000000001</v>
      </c>
      <c r="F226" s="5">
        <f t="shared" si="12"/>
        <v>3514.6650000000004</v>
      </c>
      <c r="G226" s="7">
        <f>Assumptions!$B$21</f>
        <v>3000</v>
      </c>
      <c r="H226" s="5">
        <f t="shared" si="13"/>
        <v>3000</v>
      </c>
      <c r="I226">
        <f>Tbl_RawData[[#This Row],[Unit_price]]*(1+Assumptions!$B$26)</f>
        <v>12.5</v>
      </c>
      <c r="J226" s="12">
        <f t="shared" si="14"/>
        <v>37500</v>
      </c>
      <c r="K226" t="str">
        <f t="shared" si="15"/>
        <v>Q3</v>
      </c>
      <c r="L226" s="1">
        <f>EOMONTH(Tbl_Forecast[[#This Row],[Date]],0)</f>
        <v>45504</v>
      </c>
    </row>
    <row r="227" spans="1:12" x14ac:dyDescent="0.3">
      <c r="A227" s="1">
        <v>45403</v>
      </c>
      <c r="B227" t="s">
        <v>5</v>
      </c>
      <c r="C227">
        <v>447</v>
      </c>
      <c r="D227" s="3" cm="1">
        <f t="array" ref="D227">_xlfn.SWITCH(Assumptions!$B$2,"Base",Assumptions!$B$9,"Optimistic",Assumptions!$B$10,"Pessimistic",Assumptions!$B$11)</f>
        <v>0.05</v>
      </c>
      <c r="E227">
        <f>_xlfn.XLOOKUP(K227,Assumptions!$A$14:$A$17,Assumptions!$B$14:$B$17,0,0,1)</f>
        <v>1</v>
      </c>
      <c r="F227" s="5">
        <f t="shared" si="12"/>
        <v>469.35</v>
      </c>
      <c r="G227" s="7">
        <f>Assumptions!$B$21</f>
        <v>3000</v>
      </c>
      <c r="H227" s="5">
        <f t="shared" si="13"/>
        <v>469.35</v>
      </c>
      <c r="I227">
        <f>Tbl_RawData[[#This Row],[Unit_price]]*(1+Assumptions!$B$26)</f>
        <v>12</v>
      </c>
      <c r="J227" s="12">
        <f t="shared" si="14"/>
        <v>5632.2000000000007</v>
      </c>
      <c r="K227" t="str">
        <f t="shared" si="15"/>
        <v>Q2</v>
      </c>
      <c r="L227" s="1">
        <f>EOMONTH(Tbl_Forecast[[#This Row],[Date]],0)</f>
        <v>45412</v>
      </c>
    </row>
    <row r="228" spans="1:12" x14ac:dyDescent="0.3">
      <c r="A228" s="1">
        <v>45759</v>
      </c>
      <c r="B228" t="s">
        <v>5</v>
      </c>
      <c r="C228">
        <v>4199</v>
      </c>
      <c r="D228" s="3" cm="1">
        <f t="array" ref="D228">_xlfn.SWITCH(Assumptions!$B$2,"Base",Assumptions!$B$9,"Optimistic",Assumptions!$B$10,"Pessimistic",Assumptions!$B$11)</f>
        <v>0.05</v>
      </c>
      <c r="E228">
        <f>_xlfn.XLOOKUP(K228,Assumptions!$A$14:$A$17,Assumptions!$B$14:$B$17,0,0,1)</f>
        <v>1</v>
      </c>
      <c r="F228" s="5">
        <f t="shared" si="12"/>
        <v>4408.95</v>
      </c>
      <c r="G228" s="7">
        <f>Assumptions!$B$21</f>
        <v>3000</v>
      </c>
      <c r="H228" s="5">
        <f t="shared" si="13"/>
        <v>3000</v>
      </c>
      <c r="I228">
        <f>Tbl_RawData[[#This Row],[Unit_price]]*(1+Assumptions!$B$26)</f>
        <v>13</v>
      </c>
      <c r="J228" s="12">
        <f t="shared" si="14"/>
        <v>39000</v>
      </c>
      <c r="K228" t="str">
        <f t="shared" si="15"/>
        <v>Q2</v>
      </c>
      <c r="L228" s="1">
        <f>EOMONTH(Tbl_Forecast[[#This Row],[Date]],0)</f>
        <v>45777</v>
      </c>
    </row>
    <row r="229" spans="1:12" x14ac:dyDescent="0.3">
      <c r="A229" s="1">
        <v>45468</v>
      </c>
      <c r="B229" t="s">
        <v>4</v>
      </c>
      <c r="C229">
        <v>461</v>
      </c>
      <c r="D229" s="3" cm="1">
        <f t="array" ref="D229">_xlfn.SWITCH(Assumptions!$B$2,"Base",Assumptions!$B$9,"Optimistic",Assumptions!$B$10,"Pessimistic",Assumptions!$B$11)</f>
        <v>0.05</v>
      </c>
      <c r="E229">
        <f>_xlfn.XLOOKUP(K229,Assumptions!$A$14:$A$17,Assumptions!$B$14:$B$17,0,0,1)</f>
        <v>1</v>
      </c>
      <c r="F229" s="5">
        <f t="shared" si="12"/>
        <v>484.05</v>
      </c>
      <c r="G229" s="7">
        <f>Assumptions!$B$21</f>
        <v>3000</v>
      </c>
      <c r="H229" s="5">
        <f t="shared" si="13"/>
        <v>484.05</v>
      </c>
      <c r="I229">
        <f>Tbl_RawData[[#This Row],[Unit_price]]*(1+Assumptions!$B$26)</f>
        <v>12</v>
      </c>
      <c r="J229" s="12">
        <f t="shared" si="14"/>
        <v>5808.6</v>
      </c>
      <c r="K229" t="str">
        <f t="shared" si="15"/>
        <v>Q2</v>
      </c>
      <c r="L229" s="1">
        <f>EOMONTH(Tbl_Forecast[[#This Row],[Date]],0)</f>
        <v>45473</v>
      </c>
    </row>
    <row r="230" spans="1:12" x14ac:dyDescent="0.3">
      <c r="A230" s="1">
        <v>45996</v>
      </c>
      <c r="B230" t="s">
        <v>6</v>
      </c>
      <c r="C230">
        <v>1798</v>
      </c>
      <c r="D230" s="3" cm="1">
        <f t="array" ref="D230">_xlfn.SWITCH(Assumptions!$B$2,"Base",Assumptions!$B$9,"Optimistic",Assumptions!$B$10,"Pessimistic",Assumptions!$B$11)</f>
        <v>0.05</v>
      </c>
      <c r="E230">
        <f>_xlfn.XLOOKUP(K230,Assumptions!$A$14:$A$17,Assumptions!$B$14:$B$17,0,0,1)</f>
        <v>1.1499999999999999</v>
      </c>
      <c r="F230" s="5">
        <f t="shared" si="12"/>
        <v>2171.085</v>
      </c>
      <c r="G230" s="7">
        <f>Assumptions!$B$21</f>
        <v>3000</v>
      </c>
      <c r="H230" s="5">
        <f t="shared" si="13"/>
        <v>2171.085</v>
      </c>
      <c r="I230">
        <f>Tbl_RawData[[#This Row],[Unit_price]]*(1+Assumptions!$B$26)</f>
        <v>13.5</v>
      </c>
      <c r="J230" s="12">
        <f t="shared" si="14"/>
        <v>29309.647499999999</v>
      </c>
      <c r="K230" t="str">
        <f t="shared" si="15"/>
        <v>Q4</v>
      </c>
      <c r="L230" s="1">
        <f>EOMONTH(Tbl_Forecast[[#This Row],[Date]],0)</f>
        <v>46022</v>
      </c>
    </row>
    <row r="231" spans="1:12" x14ac:dyDescent="0.3">
      <c r="A231" s="1">
        <v>45982</v>
      </c>
      <c r="B231" t="s">
        <v>5</v>
      </c>
      <c r="C231">
        <v>1625</v>
      </c>
      <c r="D231" s="3" cm="1">
        <f t="array" ref="D231">_xlfn.SWITCH(Assumptions!$B$2,"Base",Assumptions!$B$9,"Optimistic",Assumptions!$B$10,"Pessimistic",Assumptions!$B$11)</f>
        <v>0.05</v>
      </c>
      <c r="E231">
        <f>_xlfn.XLOOKUP(K231,Assumptions!$A$14:$A$17,Assumptions!$B$14:$B$17,0,0,1)</f>
        <v>1.1499999999999999</v>
      </c>
      <c r="F231" s="5">
        <f t="shared" si="12"/>
        <v>1962.1874999999998</v>
      </c>
      <c r="G231" s="7">
        <f>Assumptions!$B$21</f>
        <v>3000</v>
      </c>
      <c r="H231" s="5">
        <f t="shared" si="13"/>
        <v>1962.1874999999998</v>
      </c>
      <c r="I231">
        <f>Tbl_RawData[[#This Row],[Unit_price]]*(1+Assumptions!$B$26)</f>
        <v>13.5</v>
      </c>
      <c r="J231" s="12">
        <f t="shared" si="14"/>
        <v>26489.531249999996</v>
      </c>
      <c r="K231" t="str">
        <f t="shared" si="15"/>
        <v>Q4</v>
      </c>
      <c r="L231" s="1">
        <f>EOMONTH(Tbl_Forecast[[#This Row],[Date]],0)</f>
        <v>45991</v>
      </c>
    </row>
    <row r="232" spans="1:12" x14ac:dyDescent="0.3">
      <c r="A232" s="1">
        <v>45331</v>
      </c>
      <c r="B232" t="s">
        <v>6</v>
      </c>
      <c r="C232">
        <v>4526</v>
      </c>
      <c r="D232" s="3" cm="1">
        <f t="array" ref="D232">_xlfn.SWITCH(Assumptions!$B$2,"Base",Assumptions!$B$9,"Optimistic",Assumptions!$B$10,"Pessimistic",Assumptions!$B$11)</f>
        <v>0.05</v>
      </c>
      <c r="E232">
        <f>_xlfn.XLOOKUP(K232,Assumptions!$A$14:$A$17,Assumptions!$B$14:$B$17,0,0,1)</f>
        <v>0.95</v>
      </c>
      <c r="F232" s="5">
        <f t="shared" si="12"/>
        <v>4514.6850000000004</v>
      </c>
      <c r="G232" s="7">
        <f>Assumptions!$B$21</f>
        <v>3000</v>
      </c>
      <c r="H232" s="5">
        <f t="shared" si="13"/>
        <v>3000</v>
      </c>
      <c r="I232">
        <f>Tbl_RawData[[#This Row],[Unit_price]]*(1+Assumptions!$B$26)</f>
        <v>12</v>
      </c>
      <c r="J232" s="12">
        <f t="shared" si="14"/>
        <v>36000</v>
      </c>
      <c r="K232" t="str">
        <f t="shared" si="15"/>
        <v>Q1</v>
      </c>
      <c r="L232" s="1">
        <f>EOMONTH(Tbl_Forecast[[#This Row],[Date]],0)</f>
        <v>45351</v>
      </c>
    </row>
    <row r="233" spans="1:12" x14ac:dyDescent="0.3">
      <c r="A233" s="1">
        <v>46021</v>
      </c>
      <c r="B233" t="s">
        <v>5</v>
      </c>
      <c r="C233">
        <v>1158</v>
      </c>
      <c r="D233" s="3" cm="1">
        <f t="array" ref="D233">_xlfn.SWITCH(Assumptions!$B$2,"Base",Assumptions!$B$9,"Optimistic",Assumptions!$B$10,"Pessimistic",Assumptions!$B$11)</f>
        <v>0.05</v>
      </c>
      <c r="E233">
        <f>_xlfn.XLOOKUP(K233,Assumptions!$A$14:$A$17,Assumptions!$B$14:$B$17,0,0,1)</f>
        <v>1.1499999999999999</v>
      </c>
      <c r="F233" s="5">
        <f t="shared" si="12"/>
        <v>1398.2850000000001</v>
      </c>
      <c r="G233" s="7">
        <f>Assumptions!$B$21</f>
        <v>3000</v>
      </c>
      <c r="H233" s="5">
        <f t="shared" si="13"/>
        <v>1398.2850000000001</v>
      </c>
      <c r="I233">
        <f>Tbl_RawData[[#This Row],[Unit_price]]*(1+Assumptions!$B$26)</f>
        <v>13.5</v>
      </c>
      <c r="J233" s="12">
        <f t="shared" si="14"/>
        <v>18876.8475</v>
      </c>
      <c r="K233" t="str">
        <f t="shared" si="15"/>
        <v>Q4</v>
      </c>
      <c r="L233" s="1">
        <f>EOMONTH(Tbl_Forecast[[#This Row],[Date]],0)</f>
        <v>46022</v>
      </c>
    </row>
    <row r="234" spans="1:12" x14ac:dyDescent="0.3">
      <c r="A234" s="1">
        <v>45312</v>
      </c>
      <c r="B234" t="s">
        <v>5</v>
      </c>
      <c r="C234">
        <v>1600</v>
      </c>
      <c r="D234" s="3" cm="1">
        <f t="array" ref="D234">_xlfn.SWITCH(Assumptions!$B$2,"Base",Assumptions!$B$9,"Optimistic",Assumptions!$B$10,"Pessimistic",Assumptions!$B$11)</f>
        <v>0.05</v>
      </c>
      <c r="E234">
        <f>_xlfn.XLOOKUP(K234,Assumptions!$A$14:$A$17,Assumptions!$B$14:$B$17,0,0,1)</f>
        <v>0.95</v>
      </c>
      <c r="F234" s="5">
        <f t="shared" si="12"/>
        <v>1596</v>
      </c>
      <c r="G234" s="7">
        <f>Assumptions!$B$21</f>
        <v>3000</v>
      </c>
      <c r="H234" s="5">
        <f t="shared" si="13"/>
        <v>1596</v>
      </c>
      <c r="I234">
        <f>Tbl_RawData[[#This Row],[Unit_price]]*(1+Assumptions!$B$26)</f>
        <v>12</v>
      </c>
      <c r="J234" s="12">
        <f t="shared" si="14"/>
        <v>19152</v>
      </c>
      <c r="K234" t="str">
        <f t="shared" si="15"/>
        <v>Q1</v>
      </c>
      <c r="L234" s="1">
        <f>EOMONTH(Tbl_Forecast[[#This Row],[Date]],0)</f>
        <v>45322</v>
      </c>
    </row>
    <row r="235" spans="1:12" x14ac:dyDescent="0.3">
      <c r="A235" s="1">
        <v>45351</v>
      </c>
      <c r="B235" t="s">
        <v>6</v>
      </c>
      <c r="C235">
        <v>3336</v>
      </c>
      <c r="D235" s="3" cm="1">
        <f t="array" ref="D235">_xlfn.SWITCH(Assumptions!$B$2,"Base",Assumptions!$B$9,"Optimistic",Assumptions!$B$10,"Pessimistic",Assumptions!$B$11)</f>
        <v>0.05</v>
      </c>
      <c r="E235">
        <f>_xlfn.XLOOKUP(K235,Assumptions!$A$14:$A$17,Assumptions!$B$14:$B$17,0,0,1)</f>
        <v>0.95</v>
      </c>
      <c r="F235" s="5">
        <f t="shared" si="12"/>
        <v>3327.66</v>
      </c>
      <c r="G235" s="7">
        <f>Assumptions!$B$21</f>
        <v>3000</v>
      </c>
      <c r="H235" s="5">
        <f t="shared" si="13"/>
        <v>3000</v>
      </c>
      <c r="I235">
        <f>Tbl_RawData[[#This Row],[Unit_price]]*(1+Assumptions!$B$26)</f>
        <v>12</v>
      </c>
      <c r="J235" s="12">
        <f t="shared" si="14"/>
        <v>36000</v>
      </c>
      <c r="K235" t="str">
        <f t="shared" si="15"/>
        <v>Q1</v>
      </c>
      <c r="L235" s="1">
        <f>EOMONTH(Tbl_Forecast[[#This Row],[Date]],0)</f>
        <v>45351</v>
      </c>
    </row>
    <row r="236" spans="1:12" x14ac:dyDescent="0.3">
      <c r="A236" s="1">
        <v>45334</v>
      </c>
      <c r="B236" t="s">
        <v>6</v>
      </c>
      <c r="C236">
        <v>4596</v>
      </c>
      <c r="D236" s="3" cm="1">
        <f t="array" ref="D236">_xlfn.SWITCH(Assumptions!$B$2,"Base",Assumptions!$B$9,"Optimistic",Assumptions!$B$10,"Pessimistic",Assumptions!$B$11)</f>
        <v>0.05</v>
      </c>
      <c r="E236">
        <f>_xlfn.XLOOKUP(K236,Assumptions!$A$14:$A$17,Assumptions!$B$14:$B$17,0,0,1)</f>
        <v>0.95</v>
      </c>
      <c r="F236" s="5">
        <f t="shared" si="12"/>
        <v>4584.51</v>
      </c>
      <c r="G236" s="7">
        <f>Assumptions!$B$21</f>
        <v>3000</v>
      </c>
      <c r="H236" s="5">
        <f t="shared" si="13"/>
        <v>3000</v>
      </c>
      <c r="I236">
        <f>Tbl_RawData[[#This Row],[Unit_price]]*(1+Assumptions!$B$26)</f>
        <v>12</v>
      </c>
      <c r="J236" s="12">
        <f t="shared" si="14"/>
        <v>36000</v>
      </c>
      <c r="K236" t="str">
        <f t="shared" si="15"/>
        <v>Q1</v>
      </c>
      <c r="L236" s="1">
        <f>EOMONTH(Tbl_Forecast[[#This Row],[Date]],0)</f>
        <v>45351</v>
      </c>
    </row>
    <row r="237" spans="1:12" x14ac:dyDescent="0.3">
      <c r="A237" s="1">
        <v>45325</v>
      </c>
      <c r="B237" t="s">
        <v>6</v>
      </c>
      <c r="C237">
        <v>3608</v>
      </c>
      <c r="D237" s="3" cm="1">
        <f t="array" ref="D237">_xlfn.SWITCH(Assumptions!$B$2,"Base",Assumptions!$B$9,"Optimistic",Assumptions!$B$10,"Pessimistic",Assumptions!$B$11)</f>
        <v>0.05</v>
      </c>
      <c r="E237">
        <f>_xlfn.XLOOKUP(K237,Assumptions!$A$14:$A$17,Assumptions!$B$14:$B$17,0,0,1)</f>
        <v>0.95</v>
      </c>
      <c r="F237" s="5">
        <f t="shared" si="12"/>
        <v>3598.98</v>
      </c>
      <c r="G237" s="7">
        <f>Assumptions!$B$21</f>
        <v>3000</v>
      </c>
      <c r="H237" s="5">
        <f t="shared" si="13"/>
        <v>3000</v>
      </c>
      <c r="I237">
        <f>Tbl_RawData[[#This Row],[Unit_price]]*(1+Assumptions!$B$26)</f>
        <v>12</v>
      </c>
      <c r="J237" s="12">
        <f t="shared" si="14"/>
        <v>36000</v>
      </c>
      <c r="K237" t="str">
        <f t="shared" si="15"/>
        <v>Q1</v>
      </c>
      <c r="L237" s="1">
        <f>EOMONTH(Tbl_Forecast[[#This Row],[Date]],0)</f>
        <v>45351</v>
      </c>
    </row>
    <row r="238" spans="1:12" x14ac:dyDescent="0.3">
      <c r="A238" s="1">
        <v>46003</v>
      </c>
      <c r="B238" t="s">
        <v>5</v>
      </c>
      <c r="C238">
        <v>3004</v>
      </c>
      <c r="D238" s="3" cm="1">
        <f t="array" ref="D238">_xlfn.SWITCH(Assumptions!$B$2,"Base",Assumptions!$B$9,"Optimistic",Assumptions!$B$10,"Pessimistic",Assumptions!$B$11)</f>
        <v>0.05</v>
      </c>
      <c r="E238">
        <f>_xlfn.XLOOKUP(K238,Assumptions!$A$14:$A$17,Assumptions!$B$14:$B$17,0,0,1)</f>
        <v>1.1499999999999999</v>
      </c>
      <c r="F238" s="5">
        <f t="shared" si="12"/>
        <v>3627.33</v>
      </c>
      <c r="G238" s="7">
        <f>Assumptions!$B$21</f>
        <v>3000</v>
      </c>
      <c r="H238" s="5">
        <f t="shared" si="13"/>
        <v>3000</v>
      </c>
      <c r="I238">
        <f>Tbl_RawData[[#This Row],[Unit_price]]*(1+Assumptions!$B$26)</f>
        <v>13.5</v>
      </c>
      <c r="J238" s="12">
        <f t="shared" si="14"/>
        <v>40500</v>
      </c>
      <c r="K238" t="str">
        <f t="shared" si="15"/>
        <v>Q4</v>
      </c>
      <c r="L238" s="1">
        <f>EOMONTH(Tbl_Forecast[[#This Row],[Date]],0)</f>
        <v>46022</v>
      </c>
    </row>
    <row r="239" spans="1:12" x14ac:dyDescent="0.3">
      <c r="A239" s="1">
        <v>45773</v>
      </c>
      <c r="B239" t="s">
        <v>4</v>
      </c>
      <c r="C239">
        <v>4411</v>
      </c>
      <c r="D239" s="3" cm="1">
        <f t="array" ref="D239">_xlfn.SWITCH(Assumptions!$B$2,"Base",Assumptions!$B$9,"Optimistic",Assumptions!$B$10,"Pessimistic",Assumptions!$B$11)</f>
        <v>0.05</v>
      </c>
      <c r="E239">
        <f>_xlfn.XLOOKUP(K239,Assumptions!$A$14:$A$17,Assumptions!$B$14:$B$17,0,0,1)</f>
        <v>1</v>
      </c>
      <c r="F239" s="5">
        <f t="shared" si="12"/>
        <v>4631.55</v>
      </c>
      <c r="G239" s="7">
        <f>Assumptions!$B$21</f>
        <v>3000</v>
      </c>
      <c r="H239" s="5">
        <f t="shared" si="13"/>
        <v>3000</v>
      </c>
      <c r="I239">
        <f>Tbl_RawData[[#This Row],[Unit_price]]*(1+Assumptions!$B$26)</f>
        <v>13</v>
      </c>
      <c r="J239" s="12">
        <f t="shared" si="14"/>
        <v>39000</v>
      </c>
      <c r="K239" t="str">
        <f t="shared" si="15"/>
        <v>Q2</v>
      </c>
      <c r="L239" s="1">
        <f>EOMONTH(Tbl_Forecast[[#This Row],[Date]],0)</f>
        <v>45777</v>
      </c>
    </row>
    <row r="240" spans="1:12" x14ac:dyDescent="0.3">
      <c r="A240" s="1">
        <v>45663</v>
      </c>
      <c r="B240" t="s">
        <v>4</v>
      </c>
      <c r="C240">
        <v>3254</v>
      </c>
      <c r="D240" s="3" cm="1">
        <f t="array" ref="D240">_xlfn.SWITCH(Assumptions!$B$2,"Base",Assumptions!$B$9,"Optimistic",Assumptions!$B$10,"Pessimistic",Assumptions!$B$11)</f>
        <v>0.05</v>
      </c>
      <c r="E240">
        <f>_xlfn.XLOOKUP(K240,Assumptions!$A$14:$A$17,Assumptions!$B$14:$B$17,0,0,1)</f>
        <v>0.95</v>
      </c>
      <c r="F240" s="5">
        <f t="shared" si="12"/>
        <v>3245.8650000000002</v>
      </c>
      <c r="G240" s="7">
        <f>Assumptions!$B$21</f>
        <v>3000</v>
      </c>
      <c r="H240" s="5">
        <f t="shared" si="13"/>
        <v>3000</v>
      </c>
      <c r="I240">
        <f>Tbl_RawData[[#This Row],[Unit_price]]*(1+Assumptions!$B$26)</f>
        <v>13</v>
      </c>
      <c r="J240" s="12">
        <f t="shared" si="14"/>
        <v>39000</v>
      </c>
      <c r="K240" t="str">
        <f t="shared" si="15"/>
        <v>Q1</v>
      </c>
      <c r="L240" s="1">
        <f>EOMONTH(Tbl_Forecast[[#This Row],[Date]],0)</f>
        <v>45688</v>
      </c>
    </row>
    <row r="241" spans="1:12" x14ac:dyDescent="0.3">
      <c r="A241" s="1">
        <v>45562</v>
      </c>
      <c r="B241" t="s">
        <v>5</v>
      </c>
      <c r="C241">
        <v>3233</v>
      </c>
      <c r="D241" s="3" cm="1">
        <f t="array" ref="D241">_xlfn.SWITCH(Assumptions!$B$2,"Base",Assumptions!$B$9,"Optimistic",Assumptions!$B$10,"Pessimistic",Assumptions!$B$11)</f>
        <v>0.05</v>
      </c>
      <c r="E241">
        <f>_xlfn.XLOOKUP(K241,Assumptions!$A$14:$A$17,Assumptions!$B$14:$B$17,0,0,1)</f>
        <v>1.1000000000000001</v>
      </c>
      <c r="F241" s="5">
        <f t="shared" si="12"/>
        <v>3734.1150000000002</v>
      </c>
      <c r="G241" s="7">
        <f>Assumptions!$B$21</f>
        <v>3000</v>
      </c>
      <c r="H241" s="5">
        <f t="shared" si="13"/>
        <v>3000</v>
      </c>
      <c r="I241">
        <f>Tbl_RawData[[#This Row],[Unit_price]]*(1+Assumptions!$B$26)</f>
        <v>12.5</v>
      </c>
      <c r="J241" s="12">
        <f t="shared" si="14"/>
        <v>37500</v>
      </c>
      <c r="K241" t="str">
        <f t="shared" si="15"/>
        <v>Q3</v>
      </c>
      <c r="L241" s="1">
        <f>EOMONTH(Tbl_Forecast[[#This Row],[Date]],0)</f>
        <v>45565</v>
      </c>
    </row>
    <row r="242" spans="1:12" x14ac:dyDescent="0.3">
      <c r="A242" s="1">
        <v>45349</v>
      </c>
      <c r="B242" t="s">
        <v>6</v>
      </c>
      <c r="C242">
        <v>3279</v>
      </c>
      <c r="D242" s="3" cm="1">
        <f t="array" ref="D242">_xlfn.SWITCH(Assumptions!$B$2,"Base",Assumptions!$B$9,"Optimistic",Assumptions!$B$10,"Pessimistic",Assumptions!$B$11)</f>
        <v>0.05</v>
      </c>
      <c r="E242">
        <f>_xlfn.XLOOKUP(K242,Assumptions!$A$14:$A$17,Assumptions!$B$14:$B$17,0,0,1)</f>
        <v>0.95</v>
      </c>
      <c r="F242" s="5">
        <f t="shared" si="12"/>
        <v>3270.8025000000002</v>
      </c>
      <c r="G242" s="7">
        <f>Assumptions!$B$21</f>
        <v>3000</v>
      </c>
      <c r="H242" s="5">
        <f t="shared" si="13"/>
        <v>3000</v>
      </c>
      <c r="I242">
        <f>Tbl_RawData[[#This Row],[Unit_price]]*(1+Assumptions!$B$26)</f>
        <v>12</v>
      </c>
      <c r="J242" s="12">
        <f t="shared" si="14"/>
        <v>36000</v>
      </c>
      <c r="K242" t="str">
        <f t="shared" si="15"/>
        <v>Q1</v>
      </c>
      <c r="L242" s="1">
        <f>EOMONTH(Tbl_Forecast[[#This Row],[Date]],0)</f>
        <v>45351</v>
      </c>
    </row>
    <row r="243" spans="1:12" x14ac:dyDescent="0.3">
      <c r="A243" s="1">
        <v>45301</v>
      </c>
      <c r="B243" t="s">
        <v>5</v>
      </c>
      <c r="C243">
        <v>2283</v>
      </c>
      <c r="D243" s="3" cm="1">
        <f t="array" ref="D243">_xlfn.SWITCH(Assumptions!$B$2,"Base",Assumptions!$B$9,"Optimistic",Assumptions!$B$10,"Pessimistic",Assumptions!$B$11)</f>
        <v>0.05</v>
      </c>
      <c r="E243">
        <f>_xlfn.XLOOKUP(K243,Assumptions!$A$14:$A$17,Assumptions!$B$14:$B$17,0,0,1)</f>
        <v>0.95</v>
      </c>
      <c r="F243" s="5">
        <f t="shared" si="12"/>
        <v>2277.2925</v>
      </c>
      <c r="G243" s="7">
        <f>Assumptions!$B$21</f>
        <v>3000</v>
      </c>
      <c r="H243" s="5">
        <f t="shared" si="13"/>
        <v>2277.2925</v>
      </c>
      <c r="I243">
        <f>Tbl_RawData[[#This Row],[Unit_price]]*(1+Assumptions!$B$26)</f>
        <v>12</v>
      </c>
      <c r="J243" s="12">
        <f t="shared" si="14"/>
        <v>27327.510000000002</v>
      </c>
      <c r="K243" t="str">
        <f t="shared" si="15"/>
        <v>Q1</v>
      </c>
      <c r="L243" s="1">
        <f>EOMONTH(Tbl_Forecast[[#This Row],[Date]],0)</f>
        <v>45322</v>
      </c>
    </row>
    <row r="244" spans="1:12" x14ac:dyDescent="0.3">
      <c r="A244" s="1">
        <v>45316</v>
      </c>
      <c r="B244" t="s">
        <v>5</v>
      </c>
      <c r="C244">
        <v>2970</v>
      </c>
      <c r="D244" s="3" cm="1">
        <f t="array" ref="D244">_xlfn.SWITCH(Assumptions!$B$2,"Base",Assumptions!$B$9,"Optimistic",Assumptions!$B$10,"Pessimistic",Assumptions!$B$11)</f>
        <v>0.05</v>
      </c>
      <c r="E244">
        <f>_xlfn.XLOOKUP(K244,Assumptions!$A$14:$A$17,Assumptions!$B$14:$B$17,0,0,1)</f>
        <v>0.95</v>
      </c>
      <c r="F244" s="5">
        <f t="shared" si="12"/>
        <v>2962.5749999999998</v>
      </c>
      <c r="G244" s="7">
        <f>Assumptions!$B$21</f>
        <v>3000</v>
      </c>
      <c r="H244" s="5">
        <f t="shared" si="13"/>
        <v>2962.5749999999998</v>
      </c>
      <c r="I244">
        <f>Tbl_RawData[[#This Row],[Unit_price]]*(1+Assumptions!$B$26)</f>
        <v>12</v>
      </c>
      <c r="J244" s="12">
        <f t="shared" si="14"/>
        <v>35550.899999999994</v>
      </c>
      <c r="K244" t="str">
        <f t="shared" si="15"/>
        <v>Q1</v>
      </c>
      <c r="L244" s="1">
        <f>EOMONTH(Tbl_Forecast[[#This Row],[Date]],0)</f>
        <v>45322</v>
      </c>
    </row>
    <row r="245" spans="1:12" x14ac:dyDescent="0.3">
      <c r="A245" s="1">
        <v>45975</v>
      </c>
      <c r="B245" t="s">
        <v>5</v>
      </c>
      <c r="C245">
        <v>1813</v>
      </c>
      <c r="D245" s="3" cm="1">
        <f t="array" ref="D245">_xlfn.SWITCH(Assumptions!$B$2,"Base",Assumptions!$B$9,"Optimistic",Assumptions!$B$10,"Pessimistic",Assumptions!$B$11)</f>
        <v>0.05</v>
      </c>
      <c r="E245">
        <f>_xlfn.XLOOKUP(K245,Assumptions!$A$14:$A$17,Assumptions!$B$14:$B$17,0,0,1)</f>
        <v>1.1499999999999999</v>
      </c>
      <c r="F245" s="5">
        <f t="shared" si="12"/>
        <v>2189.1974999999998</v>
      </c>
      <c r="G245" s="7">
        <f>Assumptions!$B$21</f>
        <v>3000</v>
      </c>
      <c r="H245" s="5">
        <f t="shared" si="13"/>
        <v>2189.1974999999998</v>
      </c>
      <c r="I245">
        <f>Tbl_RawData[[#This Row],[Unit_price]]*(1+Assumptions!$B$26)</f>
        <v>13.5</v>
      </c>
      <c r="J245" s="12">
        <f t="shared" si="14"/>
        <v>29554.166249999998</v>
      </c>
      <c r="K245" t="str">
        <f t="shared" si="15"/>
        <v>Q4</v>
      </c>
      <c r="L245" s="1">
        <f>EOMONTH(Tbl_Forecast[[#This Row],[Date]],0)</f>
        <v>45991</v>
      </c>
    </row>
    <row r="246" spans="1:12" x14ac:dyDescent="0.3">
      <c r="A246" s="1">
        <v>45515</v>
      </c>
      <c r="B246" t="s">
        <v>5</v>
      </c>
      <c r="C246">
        <v>1315</v>
      </c>
      <c r="D246" s="3" cm="1">
        <f t="array" ref="D246">_xlfn.SWITCH(Assumptions!$B$2,"Base",Assumptions!$B$9,"Optimistic",Assumptions!$B$10,"Pessimistic",Assumptions!$B$11)</f>
        <v>0.05</v>
      </c>
      <c r="E246">
        <f>_xlfn.XLOOKUP(K246,Assumptions!$A$14:$A$17,Assumptions!$B$14:$B$17,0,0,1)</f>
        <v>1.1000000000000001</v>
      </c>
      <c r="F246" s="5">
        <f t="shared" si="12"/>
        <v>1518.825</v>
      </c>
      <c r="G246" s="7">
        <f>Assumptions!$B$21</f>
        <v>3000</v>
      </c>
      <c r="H246" s="5">
        <f t="shared" si="13"/>
        <v>1518.825</v>
      </c>
      <c r="I246">
        <f>Tbl_RawData[[#This Row],[Unit_price]]*(1+Assumptions!$B$26)</f>
        <v>12.5</v>
      </c>
      <c r="J246" s="12">
        <f t="shared" si="14"/>
        <v>18985.3125</v>
      </c>
      <c r="K246" t="str">
        <f t="shared" si="15"/>
        <v>Q3</v>
      </c>
      <c r="L246" s="1">
        <f>EOMONTH(Tbl_Forecast[[#This Row],[Date]],0)</f>
        <v>45535</v>
      </c>
    </row>
    <row r="247" spans="1:12" x14ac:dyDescent="0.3">
      <c r="A247" s="1">
        <v>45574</v>
      </c>
      <c r="B247" t="s">
        <v>6</v>
      </c>
      <c r="C247">
        <v>4897</v>
      </c>
      <c r="D247" s="3" cm="1">
        <f t="array" ref="D247">_xlfn.SWITCH(Assumptions!$B$2,"Base",Assumptions!$B$9,"Optimistic",Assumptions!$B$10,"Pessimistic",Assumptions!$B$11)</f>
        <v>0.05</v>
      </c>
      <c r="E247">
        <f>_xlfn.XLOOKUP(K247,Assumptions!$A$14:$A$17,Assumptions!$B$14:$B$17,0,0,1)</f>
        <v>1.1499999999999999</v>
      </c>
      <c r="F247" s="5">
        <f t="shared" si="12"/>
        <v>5913.1274999999996</v>
      </c>
      <c r="G247" s="7">
        <f>Assumptions!$B$21</f>
        <v>3000</v>
      </c>
      <c r="H247" s="5">
        <f t="shared" si="13"/>
        <v>3000</v>
      </c>
      <c r="I247">
        <f>Tbl_RawData[[#This Row],[Unit_price]]*(1+Assumptions!$B$26)</f>
        <v>12.5</v>
      </c>
      <c r="J247" s="12">
        <f t="shared" si="14"/>
        <v>37500</v>
      </c>
      <c r="K247" t="str">
        <f t="shared" si="15"/>
        <v>Q4</v>
      </c>
      <c r="L247" s="1">
        <f>EOMONTH(Tbl_Forecast[[#This Row],[Date]],0)</f>
        <v>45596</v>
      </c>
    </row>
    <row r="248" spans="1:12" x14ac:dyDescent="0.3">
      <c r="A248" s="1">
        <v>45991</v>
      </c>
      <c r="B248" t="s">
        <v>4</v>
      </c>
      <c r="C248">
        <v>4859</v>
      </c>
      <c r="D248" s="3" cm="1">
        <f t="array" ref="D248">_xlfn.SWITCH(Assumptions!$B$2,"Base",Assumptions!$B$9,"Optimistic",Assumptions!$B$10,"Pessimistic",Assumptions!$B$11)</f>
        <v>0.05</v>
      </c>
      <c r="E248">
        <f>_xlfn.XLOOKUP(K248,Assumptions!$A$14:$A$17,Assumptions!$B$14:$B$17,0,0,1)</f>
        <v>1.1499999999999999</v>
      </c>
      <c r="F248" s="5">
        <f t="shared" si="12"/>
        <v>5867.2424999999994</v>
      </c>
      <c r="G248" s="7">
        <f>Assumptions!$B$21</f>
        <v>3000</v>
      </c>
      <c r="H248" s="5">
        <f t="shared" si="13"/>
        <v>3000</v>
      </c>
      <c r="I248">
        <f>Tbl_RawData[[#This Row],[Unit_price]]*(1+Assumptions!$B$26)</f>
        <v>13.5</v>
      </c>
      <c r="J248" s="12">
        <f t="shared" si="14"/>
        <v>40500</v>
      </c>
      <c r="K248" t="str">
        <f t="shared" si="15"/>
        <v>Q4</v>
      </c>
      <c r="L248" s="1">
        <f>EOMONTH(Tbl_Forecast[[#This Row],[Date]],0)</f>
        <v>45991</v>
      </c>
    </row>
    <row r="249" spans="1:12" x14ac:dyDescent="0.3">
      <c r="A249" s="1">
        <v>45671</v>
      </c>
      <c r="B249" t="s">
        <v>5</v>
      </c>
      <c r="C249">
        <v>302</v>
      </c>
      <c r="D249" s="3" cm="1">
        <f t="array" ref="D249">_xlfn.SWITCH(Assumptions!$B$2,"Base",Assumptions!$B$9,"Optimistic",Assumptions!$B$10,"Pessimistic",Assumptions!$B$11)</f>
        <v>0.05</v>
      </c>
      <c r="E249">
        <f>_xlfn.XLOOKUP(K249,Assumptions!$A$14:$A$17,Assumptions!$B$14:$B$17,0,0,1)</f>
        <v>0.95</v>
      </c>
      <c r="F249" s="5">
        <f t="shared" si="12"/>
        <v>301.245</v>
      </c>
      <c r="G249" s="7">
        <f>Assumptions!$B$21</f>
        <v>3000</v>
      </c>
      <c r="H249" s="5">
        <f t="shared" si="13"/>
        <v>301.245</v>
      </c>
      <c r="I249">
        <f>Tbl_RawData[[#This Row],[Unit_price]]*(1+Assumptions!$B$26)</f>
        <v>13</v>
      </c>
      <c r="J249" s="12">
        <f t="shared" si="14"/>
        <v>3916.1849999999999</v>
      </c>
      <c r="K249" t="str">
        <f t="shared" si="15"/>
        <v>Q1</v>
      </c>
      <c r="L249" s="1">
        <f>EOMONTH(Tbl_Forecast[[#This Row],[Date]],0)</f>
        <v>45688</v>
      </c>
    </row>
    <row r="250" spans="1:12" x14ac:dyDescent="0.3">
      <c r="A250" s="1">
        <v>45503</v>
      </c>
      <c r="B250" t="s">
        <v>6</v>
      </c>
      <c r="C250">
        <v>3629</v>
      </c>
      <c r="D250" s="3" cm="1">
        <f t="array" ref="D250">_xlfn.SWITCH(Assumptions!$B$2,"Base",Assumptions!$B$9,"Optimistic",Assumptions!$B$10,"Pessimistic",Assumptions!$B$11)</f>
        <v>0.05</v>
      </c>
      <c r="E250">
        <f>_xlfn.XLOOKUP(K250,Assumptions!$A$14:$A$17,Assumptions!$B$14:$B$17,0,0,1)</f>
        <v>1.1000000000000001</v>
      </c>
      <c r="F250" s="5">
        <f t="shared" si="12"/>
        <v>4191.4950000000008</v>
      </c>
      <c r="G250" s="7">
        <f>Assumptions!$B$21</f>
        <v>3000</v>
      </c>
      <c r="H250" s="5">
        <f t="shared" si="13"/>
        <v>3000</v>
      </c>
      <c r="I250">
        <f>Tbl_RawData[[#This Row],[Unit_price]]*(1+Assumptions!$B$26)</f>
        <v>12.5</v>
      </c>
      <c r="J250" s="12">
        <f t="shared" si="14"/>
        <v>37500</v>
      </c>
      <c r="K250" t="str">
        <f t="shared" si="15"/>
        <v>Q3</v>
      </c>
      <c r="L250" s="1">
        <f>EOMONTH(Tbl_Forecast[[#This Row],[Date]],0)</f>
        <v>45504</v>
      </c>
    </row>
    <row r="251" spans="1:12" x14ac:dyDescent="0.3">
      <c r="A251" s="1">
        <v>45740</v>
      </c>
      <c r="B251" t="s">
        <v>4</v>
      </c>
      <c r="C251">
        <v>803</v>
      </c>
      <c r="D251" s="3" cm="1">
        <f t="array" ref="D251">_xlfn.SWITCH(Assumptions!$B$2,"Base",Assumptions!$B$9,"Optimistic",Assumptions!$B$10,"Pessimistic",Assumptions!$B$11)</f>
        <v>0.05</v>
      </c>
      <c r="E251">
        <f>_xlfn.XLOOKUP(K251,Assumptions!$A$14:$A$17,Assumptions!$B$14:$B$17,0,0,1)</f>
        <v>0.95</v>
      </c>
      <c r="F251" s="5">
        <f t="shared" si="12"/>
        <v>800.99250000000006</v>
      </c>
      <c r="G251" s="7">
        <f>Assumptions!$B$21</f>
        <v>3000</v>
      </c>
      <c r="H251" s="5">
        <f t="shared" si="13"/>
        <v>800.99250000000006</v>
      </c>
      <c r="I251">
        <f>Tbl_RawData[[#This Row],[Unit_price]]*(1+Assumptions!$B$26)</f>
        <v>13</v>
      </c>
      <c r="J251" s="12">
        <f t="shared" si="14"/>
        <v>10412.9025</v>
      </c>
      <c r="K251" t="str">
        <f t="shared" si="15"/>
        <v>Q1</v>
      </c>
      <c r="L251" s="1">
        <f>EOMONTH(Tbl_Forecast[[#This Row],[Date]],0)</f>
        <v>45747</v>
      </c>
    </row>
  </sheetData>
  <pageMargins left="0.7" right="0.7" top="0.75" bottom="0.75" header="0.3" footer="0.3"/>
  <headerFooter>
    <oddFooter>&amp;C_x000D_&amp;1#&amp;"Calibri"&amp;8&amp;K000000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AB15-C10A-47A6-BD00-94F72D114FB8}">
  <dimension ref="A1:K208"/>
  <sheetViews>
    <sheetView workbookViewId="0">
      <selection activeCell="J32" sqref="J32"/>
    </sheetView>
  </sheetViews>
  <sheetFormatPr defaultRowHeight="14.4" x14ac:dyDescent="0.3"/>
  <cols>
    <col min="1" max="2" width="11" customWidth="1"/>
    <col min="3" max="3" width="24" bestFit="1" customWidth="1"/>
    <col min="4" max="4" width="29.109375" bestFit="1" customWidth="1"/>
    <col min="5" max="5" width="30.109375" bestFit="1" customWidth="1"/>
    <col min="8" max="8" width="11" customWidth="1"/>
    <col min="9" max="9" width="24" bestFit="1" customWidth="1"/>
    <col min="10" max="10" width="29.109375" bestFit="1" customWidth="1"/>
    <col min="11" max="11" width="30.109375" bestFit="1" customWidth="1"/>
  </cols>
  <sheetData>
    <row r="1" spans="1:11" x14ac:dyDescent="0.3">
      <c r="A1" t="s">
        <v>0</v>
      </c>
      <c r="B1" t="s">
        <v>34</v>
      </c>
      <c r="C1" t="s">
        <v>31</v>
      </c>
      <c r="D1" t="s">
        <v>32</v>
      </c>
      <c r="E1" t="s">
        <v>33</v>
      </c>
      <c r="H1" t="s">
        <v>34</v>
      </c>
      <c r="I1" t="s">
        <v>31</v>
      </c>
      <c r="J1" t="s">
        <v>32</v>
      </c>
      <c r="K1" t="s">
        <v>33</v>
      </c>
    </row>
    <row r="2" spans="1:11" x14ac:dyDescent="0.3">
      <c r="A2" s="1">
        <v>45294</v>
      </c>
      <c r="B2" s="1">
        <f>EOMONTH(Tbl_Scenario[[#This Row],[Date]],0)</f>
        <v>45322</v>
      </c>
      <c r="C2" s="12">
        <v>366207.375</v>
      </c>
      <c r="D2" s="12">
        <v>371313.30000000005</v>
      </c>
      <c r="E2" s="12">
        <v>361101.45</v>
      </c>
      <c r="H2" s="1">
        <v>45322</v>
      </c>
      <c r="I2" s="12" cm="1">
        <f t="array" ref="I2:I25">SUMIFS(Tbl_Scenario[Base Scenario Revenue],Tbl_Scenario[MonthKey],H2:H25)</f>
        <v>3542032.125</v>
      </c>
      <c r="J2" s="12" cm="1">
        <f t="array" ref="J2:J25">SUMIFS(Tbl_Scenario[Optimistic Scenario Revenue],Tbl_Scenario[MonthKey],H2:H25)</f>
        <v>3579201.2520000003</v>
      </c>
      <c r="K2" s="12" cm="1">
        <f t="array" ref="K2:K25">SUMIFS(Tbl_Scenario[Pessimistic Scenario Revenue],Tbl_Scenario[MonthKey],H2:H25)</f>
        <v>3502888.3499999996</v>
      </c>
    </row>
    <row r="3" spans="1:11" x14ac:dyDescent="0.3">
      <c r="A3" s="1">
        <v>45301</v>
      </c>
      <c r="B3" s="1">
        <f>EOMONTH(Tbl_Scenario[[#This Row],[Date]],0)</f>
        <v>45322</v>
      </c>
      <c r="C3" s="12">
        <v>538403.625</v>
      </c>
      <c r="D3" s="12">
        <v>543072.30000000005</v>
      </c>
      <c r="E3" s="12">
        <v>533734.94999999995</v>
      </c>
      <c r="H3" s="1">
        <v>45351</v>
      </c>
      <c r="I3" s="12">
        <v>3754702.7737500002</v>
      </c>
      <c r="J3" s="12">
        <v>3797629.1850000001</v>
      </c>
      <c r="K3" s="12">
        <v>3707140.4805000005</v>
      </c>
    </row>
    <row r="4" spans="1:11" x14ac:dyDescent="0.3">
      <c r="A4" s="1">
        <v>45302</v>
      </c>
      <c r="B4" s="1">
        <f>EOMONTH(Tbl_Scenario[[#This Row],[Date]],0)</f>
        <v>45322</v>
      </c>
      <c r="C4" s="12">
        <v>366207.375</v>
      </c>
      <c r="D4" s="12">
        <v>371313.30000000005</v>
      </c>
      <c r="E4" s="12">
        <v>361101.45</v>
      </c>
      <c r="H4" s="1">
        <v>45382</v>
      </c>
      <c r="I4" s="12">
        <v>2898484.5825</v>
      </c>
      <c r="J4" s="12">
        <v>2925584.142</v>
      </c>
      <c r="K4" s="12">
        <v>2871385.023</v>
      </c>
    </row>
    <row r="5" spans="1:11" x14ac:dyDescent="0.3">
      <c r="A5" s="1">
        <v>45307</v>
      </c>
      <c r="B5" s="1">
        <f>EOMONTH(Tbl_Scenario[[#This Row],[Date]],0)</f>
        <v>45322</v>
      </c>
      <c r="C5" s="12">
        <v>148045.78125</v>
      </c>
      <c r="D5" s="12">
        <v>149061.375</v>
      </c>
      <c r="E5" s="12">
        <v>147030.1875</v>
      </c>
      <c r="H5" s="1">
        <v>45412</v>
      </c>
      <c r="I5" s="12">
        <v>2866446.4275000007</v>
      </c>
      <c r="J5" s="12">
        <v>2891938.7429999998</v>
      </c>
      <c r="K5" s="12">
        <v>2837720.6730000004</v>
      </c>
    </row>
    <row r="6" spans="1:11" x14ac:dyDescent="0.3">
      <c r="A6" s="1">
        <v>45308</v>
      </c>
      <c r="B6" s="1">
        <f>EOMONTH(Tbl_Scenario[[#This Row],[Date]],0)</f>
        <v>45322</v>
      </c>
      <c r="C6" s="12">
        <v>389052.39750000008</v>
      </c>
      <c r="D6" s="12">
        <v>392495.14199999999</v>
      </c>
      <c r="E6" s="12">
        <v>384622.32899999997</v>
      </c>
      <c r="H6" s="1">
        <v>45443</v>
      </c>
      <c r="I6" s="12">
        <v>1261428.1087500001</v>
      </c>
      <c r="J6" s="12">
        <v>1273811.7690000001</v>
      </c>
      <c r="K6" s="12">
        <v>1247746.4595000001</v>
      </c>
    </row>
    <row r="7" spans="1:11" x14ac:dyDescent="0.3">
      <c r="A7" s="1">
        <v>45310</v>
      </c>
      <c r="B7" s="1">
        <f>EOMONTH(Tbl_Scenario[[#This Row],[Date]],0)</f>
        <v>45322</v>
      </c>
      <c r="C7" s="12">
        <v>182943.15</v>
      </c>
      <c r="D7" s="12">
        <v>184827.24</v>
      </c>
      <c r="E7" s="12">
        <v>181059.06</v>
      </c>
      <c r="H7" s="1">
        <v>45473</v>
      </c>
      <c r="I7" s="12">
        <v>3110421.0037500006</v>
      </c>
      <c r="J7" s="12">
        <v>3146465.6190000004</v>
      </c>
      <c r="K7" s="12">
        <v>3071437.5465000002</v>
      </c>
    </row>
    <row r="8" spans="1:11" x14ac:dyDescent="0.3">
      <c r="A8" s="1">
        <v>45312</v>
      </c>
      <c r="B8" s="1">
        <f>EOMONTH(Tbl_Scenario[[#This Row],[Date]],0)</f>
        <v>45322</v>
      </c>
      <c r="C8" s="12">
        <v>389052.39750000008</v>
      </c>
      <c r="D8" s="12">
        <v>392495.14199999999</v>
      </c>
      <c r="E8" s="12">
        <v>384622.32899999997</v>
      </c>
      <c r="H8" s="1">
        <v>45504</v>
      </c>
      <c r="I8" s="12">
        <v>3180771.9974999996</v>
      </c>
      <c r="J8" s="12">
        <v>3219922.6260000006</v>
      </c>
      <c r="K8" s="12">
        <v>3141621.3689999999</v>
      </c>
    </row>
    <row r="9" spans="1:11" x14ac:dyDescent="0.3">
      <c r="A9" s="1">
        <v>45315</v>
      </c>
      <c r="B9" s="1">
        <f>EOMONTH(Tbl_Scenario[[#This Row],[Date]],0)</f>
        <v>45322</v>
      </c>
      <c r="C9" s="12">
        <v>366207.375</v>
      </c>
      <c r="D9" s="12">
        <v>371313.30000000005</v>
      </c>
      <c r="E9" s="12">
        <v>361101.45</v>
      </c>
      <c r="H9" s="1">
        <v>45535</v>
      </c>
      <c r="I9" s="12">
        <v>3435131.9100000006</v>
      </c>
      <c r="J9" s="12">
        <v>3473844.048</v>
      </c>
      <c r="K9" s="12">
        <v>3392387.2950000004</v>
      </c>
    </row>
    <row r="10" spans="1:11" x14ac:dyDescent="0.3">
      <c r="A10" s="1">
        <v>45316</v>
      </c>
      <c r="B10" s="1">
        <f>EOMONTH(Tbl_Scenario[[#This Row],[Date]],0)</f>
        <v>45322</v>
      </c>
      <c r="C10" s="12">
        <v>257509.02374999999</v>
      </c>
      <c r="D10" s="12">
        <v>260237.853</v>
      </c>
      <c r="E10" s="12">
        <v>254780.19449999995</v>
      </c>
      <c r="H10" s="1">
        <v>45565</v>
      </c>
      <c r="I10" s="12">
        <v>2254210.7625000002</v>
      </c>
      <c r="J10" s="12">
        <v>2274643.7459999998</v>
      </c>
      <c r="K10" s="12">
        <v>2232790.4549999996</v>
      </c>
    </row>
    <row r="11" spans="1:11" x14ac:dyDescent="0.3">
      <c r="A11" s="1">
        <v>45322</v>
      </c>
      <c r="B11" s="1">
        <f>EOMONTH(Tbl_Scenario[[#This Row],[Date]],0)</f>
        <v>45322</v>
      </c>
      <c r="C11" s="12">
        <v>538403.625</v>
      </c>
      <c r="D11" s="12">
        <v>543072.30000000005</v>
      </c>
      <c r="E11" s="12">
        <v>533734.94999999995</v>
      </c>
      <c r="H11" s="1">
        <v>45596</v>
      </c>
      <c r="I11" s="12">
        <v>1990542.63375</v>
      </c>
      <c r="J11" s="12">
        <v>2010948.699</v>
      </c>
      <c r="K11" s="12">
        <v>1967998.5584999998</v>
      </c>
    </row>
    <row r="12" spans="1:11" x14ac:dyDescent="0.3">
      <c r="A12" s="1">
        <v>45325</v>
      </c>
      <c r="B12" s="1">
        <f>EOMONTH(Tbl_Scenario[[#This Row],[Date]],0)</f>
        <v>45351</v>
      </c>
      <c r="C12" s="12">
        <v>391852.28250000003</v>
      </c>
      <c r="D12" s="12">
        <v>394948.06199999998</v>
      </c>
      <c r="E12" s="12">
        <v>388214.28900000005</v>
      </c>
      <c r="H12" s="1">
        <v>45626</v>
      </c>
      <c r="I12" s="12">
        <v>1732752.5025000002</v>
      </c>
      <c r="J12" s="12">
        <v>1752215.25</v>
      </c>
      <c r="K12" s="12">
        <v>1712302.4310000001</v>
      </c>
    </row>
    <row r="13" spans="1:11" x14ac:dyDescent="0.3">
      <c r="A13" s="1">
        <v>45326</v>
      </c>
      <c r="B13" s="1">
        <f>EOMONTH(Tbl_Scenario[[#This Row],[Date]],0)</f>
        <v>45351</v>
      </c>
      <c r="C13" s="12">
        <v>366207.375</v>
      </c>
      <c r="D13" s="12">
        <v>371313.30000000005</v>
      </c>
      <c r="E13" s="12">
        <v>361101.45</v>
      </c>
      <c r="H13" s="1">
        <v>45657</v>
      </c>
      <c r="I13" s="12">
        <v>2257128.2287500002</v>
      </c>
      <c r="J13" s="12">
        <v>2284712.7000000002</v>
      </c>
      <c r="K13" s="12">
        <v>2226753.1365</v>
      </c>
    </row>
    <row r="14" spans="1:11" x14ac:dyDescent="0.3">
      <c r="A14" s="1">
        <v>45329</v>
      </c>
      <c r="B14" s="1">
        <f>EOMONTH(Tbl_Scenario[[#This Row],[Date]],0)</f>
        <v>45351</v>
      </c>
      <c r="C14" s="12">
        <v>307914.61499999999</v>
      </c>
      <c r="D14" s="12">
        <v>310932.91800000001</v>
      </c>
      <c r="E14" s="12">
        <v>303745.62599999999</v>
      </c>
      <c r="H14" s="1">
        <v>45688</v>
      </c>
      <c r="I14" s="12">
        <v>2583085.6537500001</v>
      </c>
      <c r="J14" s="12">
        <v>2610303.7170000002</v>
      </c>
      <c r="K14" s="12">
        <v>2552685.2175000003</v>
      </c>
    </row>
    <row r="15" spans="1:11" x14ac:dyDescent="0.3">
      <c r="A15" s="1">
        <v>45331</v>
      </c>
      <c r="B15" s="1">
        <f>EOMONTH(Tbl_Scenario[[#This Row],[Date]],0)</f>
        <v>45351</v>
      </c>
      <c r="C15" s="12">
        <v>174920.4</v>
      </c>
      <c r="D15" s="12">
        <v>175803.84</v>
      </c>
      <c r="E15" s="12">
        <v>174036.96</v>
      </c>
      <c r="H15" s="1">
        <v>45716</v>
      </c>
      <c r="I15" s="12">
        <v>2144668.08</v>
      </c>
      <c r="J15" s="12">
        <v>2165399.844</v>
      </c>
      <c r="K15" s="12">
        <v>2122406.7779999999</v>
      </c>
    </row>
    <row r="16" spans="1:11" x14ac:dyDescent="0.3">
      <c r="A16" s="1">
        <v>45334</v>
      </c>
      <c r="B16" s="1">
        <f>EOMONTH(Tbl_Scenario[[#This Row],[Date]],0)</f>
        <v>45351</v>
      </c>
      <c r="C16" s="12">
        <v>332629.02</v>
      </c>
      <c r="D16" s="12">
        <v>338196.88800000004</v>
      </c>
      <c r="E16" s="12">
        <v>326211.04799999995</v>
      </c>
      <c r="H16" s="1">
        <v>45747</v>
      </c>
      <c r="I16" s="12">
        <v>3364390.3687500004</v>
      </c>
      <c r="J16" s="12">
        <v>3400362.0150000006</v>
      </c>
      <c r="K16" s="12">
        <v>3325879.8585000006</v>
      </c>
    </row>
    <row r="17" spans="1:11" x14ac:dyDescent="0.3">
      <c r="A17" s="1">
        <v>45335</v>
      </c>
      <c r="B17" s="1">
        <f>EOMONTH(Tbl_Scenario[[#This Row],[Date]],0)</f>
        <v>45351</v>
      </c>
      <c r="C17" s="12">
        <v>366207.375</v>
      </c>
      <c r="D17" s="12">
        <v>371313.30000000005</v>
      </c>
      <c r="E17" s="12">
        <v>361101.45</v>
      </c>
      <c r="H17" s="1">
        <v>45777</v>
      </c>
      <c r="I17" s="12">
        <v>3433352.5312500005</v>
      </c>
      <c r="J17" s="12">
        <v>3471369.3629999999</v>
      </c>
      <c r="K17" s="12">
        <v>3391071.6734999996</v>
      </c>
    </row>
    <row r="18" spans="1:11" x14ac:dyDescent="0.3">
      <c r="A18" s="1">
        <v>45342</v>
      </c>
      <c r="B18" s="1">
        <f>EOMONTH(Tbl_Scenario[[#This Row],[Date]],0)</f>
        <v>45351</v>
      </c>
      <c r="C18" s="12">
        <v>261990.30000000002</v>
      </c>
      <c r="D18" s="12">
        <v>266132.88</v>
      </c>
      <c r="E18" s="12">
        <v>257847.72</v>
      </c>
      <c r="H18" s="1">
        <v>45808</v>
      </c>
      <c r="I18" s="12">
        <v>2095411.2787500001</v>
      </c>
      <c r="J18" s="12">
        <v>2119201.497</v>
      </c>
      <c r="K18" s="12">
        <v>2069472.9675000003</v>
      </c>
    </row>
    <row r="19" spans="1:11" x14ac:dyDescent="0.3">
      <c r="A19" s="1">
        <v>45343</v>
      </c>
      <c r="B19" s="1">
        <f>EOMONTH(Tbl_Scenario[[#This Row],[Date]],0)</f>
        <v>45351</v>
      </c>
      <c r="C19" s="12">
        <v>241204.40625</v>
      </c>
      <c r="D19" s="12">
        <v>244881.67499999996</v>
      </c>
      <c r="E19" s="12">
        <v>237527.13749999998</v>
      </c>
      <c r="H19" s="1">
        <v>45838</v>
      </c>
      <c r="I19" s="12">
        <v>2079854.7937500002</v>
      </c>
      <c r="J19" s="12">
        <v>2098312.6350000002</v>
      </c>
      <c r="K19" s="12">
        <v>2057960.9534999998</v>
      </c>
    </row>
    <row r="20" spans="1:11" x14ac:dyDescent="0.3">
      <c r="A20" s="1">
        <v>45346</v>
      </c>
      <c r="B20" s="1">
        <f>EOMONTH(Tbl_Scenario[[#This Row],[Date]],0)</f>
        <v>45351</v>
      </c>
      <c r="C20" s="12">
        <v>318411.00000000006</v>
      </c>
      <c r="D20" s="12">
        <v>322365.59999999998</v>
      </c>
      <c r="E20" s="12">
        <v>314456.40000000002</v>
      </c>
      <c r="H20" s="1">
        <v>45869</v>
      </c>
      <c r="I20" s="12">
        <v>3621052.7437499994</v>
      </c>
      <c r="J20" s="12">
        <v>3659600.5830000006</v>
      </c>
      <c r="K20" s="12">
        <v>3578065.5225</v>
      </c>
    </row>
    <row r="21" spans="1:11" x14ac:dyDescent="0.3">
      <c r="A21" s="1">
        <v>45347</v>
      </c>
      <c r="B21" s="1">
        <f>EOMONTH(Tbl_Scenario[[#This Row],[Date]],0)</f>
        <v>45351</v>
      </c>
      <c r="C21" s="12">
        <v>307914.61499999999</v>
      </c>
      <c r="D21" s="12">
        <v>310932.91800000001</v>
      </c>
      <c r="E21" s="12">
        <v>303745.62599999999</v>
      </c>
      <c r="H21" s="1">
        <v>45900</v>
      </c>
      <c r="I21" s="12">
        <v>2322796.1775000002</v>
      </c>
      <c r="J21" s="12">
        <v>2349549.8370000003</v>
      </c>
      <c r="K21" s="12">
        <v>2294102.0010000002</v>
      </c>
    </row>
    <row r="22" spans="1:11" x14ac:dyDescent="0.3">
      <c r="A22" s="1">
        <v>45349</v>
      </c>
      <c r="B22" s="1">
        <f>EOMONTH(Tbl_Scenario[[#This Row],[Date]],0)</f>
        <v>45351</v>
      </c>
      <c r="C22" s="12">
        <v>390264.88500000007</v>
      </c>
      <c r="D22" s="12">
        <v>394687.40400000004</v>
      </c>
      <c r="E22" s="12">
        <v>384900.174</v>
      </c>
      <c r="H22" s="1">
        <v>45930</v>
      </c>
      <c r="I22" s="12">
        <v>3304204.08</v>
      </c>
      <c r="J22" s="12">
        <v>3343965.4439999997</v>
      </c>
      <c r="K22" s="12">
        <v>3262699.6170000006</v>
      </c>
    </row>
    <row r="23" spans="1:11" x14ac:dyDescent="0.3">
      <c r="A23" s="1">
        <v>45351</v>
      </c>
      <c r="B23" s="1">
        <f>EOMONTH(Tbl_Scenario[[#This Row],[Date]],0)</f>
        <v>45351</v>
      </c>
      <c r="C23" s="12">
        <v>295186.5</v>
      </c>
      <c r="D23" s="12">
        <v>296120.40000000002</v>
      </c>
      <c r="E23" s="12">
        <v>294252.59999999998</v>
      </c>
      <c r="H23" s="1">
        <v>45961</v>
      </c>
      <c r="I23" s="12">
        <v>4482679.6237500003</v>
      </c>
      <c r="J23" s="12">
        <v>4535228.0640000002</v>
      </c>
      <c r="K23" s="12">
        <v>4424331.6344999997</v>
      </c>
    </row>
    <row r="24" spans="1:11" x14ac:dyDescent="0.3">
      <c r="A24" s="1">
        <v>45354</v>
      </c>
      <c r="B24" s="1">
        <f>EOMONTH(Tbl_Scenario[[#This Row],[Date]],0)</f>
        <v>45382</v>
      </c>
      <c r="C24" s="12">
        <v>351265.20749999996</v>
      </c>
      <c r="D24" s="12">
        <v>355515.64199999999</v>
      </c>
      <c r="E24" s="12">
        <v>347014.77299999999</v>
      </c>
      <c r="H24" s="1">
        <v>45991</v>
      </c>
      <c r="I24" s="12">
        <v>3240260.8462499999</v>
      </c>
      <c r="J24" s="12">
        <v>3276830.8710000003</v>
      </c>
      <c r="K24" s="12">
        <v>3201853.3935000002</v>
      </c>
    </row>
    <row r="25" spans="1:11" x14ac:dyDescent="0.3">
      <c r="A25" s="1">
        <v>45358</v>
      </c>
      <c r="B25" s="1">
        <f>EOMONTH(Tbl_Scenario[[#This Row],[Date]],0)</f>
        <v>45382</v>
      </c>
      <c r="C25" s="12">
        <v>295186.5</v>
      </c>
      <c r="D25" s="12">
        <v>296120.40000000002</v>
      </c>
      <c r="E25" s="12">
        <v>294252.59999999998</v>
      </c>
      <c r="H25" s="1">
        <v>46022</v>
      </c>
      <c r="I25" s="12">
        <v>2084688.8062499999</v>
      </c>
      <c r="J25" s="12">
        <v>2106580.7999999998</v>
      </c>
      <c r="K25" s="12">
        <v>2059255.4835000001</v>
      </c>
    </row>
    <row r="26" spans="1:11" x14ac:dyDescent="0.3">
      <c r="A26" s="1">
        <v>45363</v>
      </c>
      <c r="B26" s="1">
        <f>EOMONTH(Tbl_Scenario[[#This Row],[Date]],0)</f>
        <v>45382</v>
      </c>
      <c r="C26" s="12">
        <v>538403.625</v>
      </c>
      <c r="D26" s="12">
        <v>543072.30000000005</v>
      </c>
      <c r="E26" s="12">
        <v>533734.94999999995</v>
      </c>
      <c r="I26" s="12"/>
      <c r="J26" s="12"/>
      <c r="K26" s="12"/>
    </row>
    <row r="27" spans="1:11" x14ac:dyDescent="0.3">
      <c r="A27" s="1">
        <v>45368</v>
      </c>
      <c r="B27" s="1">
        <f>EOMONTH(Tbl_Scenario[[#This Row],[Date]],0)</f>
        <v>45382</v>
      </c>
      <c r="C27" s="12">
        <v>318411.00000000006</v>
      </c>
      <c r="D27" s="12">
        <v>322365.59999999998</v>
      </c>
      <c r="E27" s="12">
        <v>314456.40000000002</v>
      </c>
      <c r="I27" s="12"/>
      <c r="J27" s="12"/>
      <c r="K27" s="12"/>
    </row>
    <row r="28" spans="1:11" x14ac:dyDescent="0.3">
      <c r="A28" s="1">
        <v>45372</v>
      </c>
      <c r="B28" s="1">
        <f>EOMONTH(Tbl_Scenario[[#This Row],[Date]],0)</f>
        <v>45382</v>
      </c>
      <c r="C28" s="12">
        <v>318411.00000000006</v>
      </c>
      <c r="D28" s="12">
        <v>322365.59999999998</v>
      </c>
      <c r="E28" s="12">
        <v>314456.40000000002</v>
      </c>
      <c r="I28" s="12"/>
      <c r="J28" s="12"/>
      <c r="K28" s="12"/>
    </row>
    <row r="29" spans="1:11" x14ac:dyDescent="0.3">
      <c r="A29" s="1">
        <v>45381</v>
      </c>
      <c r="B29" s="1">
        <f>EOMONTH(Tbl_Scenario[[#This Row],[Date]],0)</f>
        <v>45382</v>
      </c>
      <c r="C29" s="12">
        <v>538403.625</v>
      </c>
      <c r="D29" s="12">
        <v>543072.30000000005</v>
      </c>
      <c r="E29" s="12">
        <v>533734.94999999995</v>
      </c>
      <c r="I29" s="12"/>
      <c r="J29" s="12"/>
      <c r="K29" s="12"/>
    </row>
    <row r="30" spans="1:11" x14ac:dyDescent="0.3">
      <c r="A30" s="1">
        <v>45382</v>
      </c>
      <c r="B30" s="1">
        <f>EOMONTH(Tbl_Scenario[[#This Row],[Date]],0)</f>
        <v>45382</v>
      </c>
      <c r="C30" s="12">
        <v>538403.625</v>
      </c>
      <c r="D30" s="12">
        <v>543072.30000000005</v>
      </c>
      <c r="E30" s="12">
        <v>533734.94999999995</v>
      </c>
      <c r="I30" s="12"/>
      <c r="J30" s="12"/>
      <c r="K30" s="12"/>
    </row>
    <row r="31" spans="1:11" x14ac:dyDescent="0.3">
      <c r="A31" s="1">
        <v>45388</v>
      </c>
      <c r="B31" s="1">
        <f>EOMONTH(Tbl_Scenario[[#This Row],[Date]],0)</f>
        <v>45412</v>
      </c>
      <c r="C31" s="12">
        <v>202676.94000000003</v>
      </c>
      <c r="D31" s="12">
        <v>204353.424</v>
      </c>
      <c r="E31" s="12">
        <v>201000.45600000001</v>
      </c>
      <c r="I31" s="12"/>
      <c r="J31" s="12"/>
      <c r="K31" s="12"/>
    </row>
    <row r="32" spans="1:11" x14ac:dyDescent="0.3">
      <c r="A32" s="1">
        <v>45390</v>
      </c>
      <c r="B32" s="1">
        <f>EOMONTH(Tbl_Scenario[[#This Row],[Date]],0)</f>
        <v>45412</v>
      </c>
      <c r="C32" s="12">
        <v>202676.94000000003</v>
      </c>
      <c r="D32" s="12">
        <v>204353.424</v>
      </c>
      <c r="E32" s="12">
        <v>201000.45600000001</v>
      </c>
      <c r="I32" s="12"/>
      <c r="J32" s="12"/>
      <c r="K32" s="12"/>
    </row>
    <row r="33" spans="1:11" x14ac:dyDescent="0.3">
      <c r="A33" s="1">
        <v>45391</v>
      </c>
      <c r="B33" s="1">
        <f>EOMONTH(Tbl_Scenario[[#This Row],[Date]],0)</f>
        <v>45412</v>
      </c>
      <c r="C33" s="12">
        <v>202676.94000000003</v>
      </c>
      <c r="D33" s="12">
        <v>204353.424</v>
      </c>
      <c r="E33" s="12">
        <v>201000.45600000001</v>
      </c>
      <c r="I33" s="12"/>
      <c r="J33" s="12"/>
      <c r="K33" s="12"/>
    </row>
    <row r="34" spans="1:11" x14ac:dyDescent="0.3">
      <c r="A34" s="1">
        <v>45397</v>
      </c>
      <c r="B34" s="1">
        <f>EOMONTH(Tbl_Scenario[[#This Row],[Date]],0)</f>
        <v>45412</v>
      </c>
      <c r="C34" s="12">
        <v>148045.78125</v>
      </c>
      <c r="D34" s="12">
        <v>149061.375</v>
      </c>
      <c r="E34" s="12">
        <v>147030.1875</v>
      </c>
      <c r="I34" s="12"/>
      <c r="J34" s="12"/>
      <c r="K34" s="12"/>
    </row>
    <row r="35" spans="1:11" x14ac:dyDescent="0.3">
      <c r="A35" s="1">
        <v>45402</v>
      </c>
      <c r="B35" s="1">
        <f>EOMONTH(Tbl_Scenario[[#This Row],[Date]],0)</f>
        <v>45412</v>
      </c>
      <c r="C35" s="12">
        <v>351265.20749999996</v>
      </c>
      <c r="D35" s="12">
        <v>355515.64199999999</v>
      </c>
      <c r="E35" s="12">
        <v>347014.77299999999</v>
      </c>
      <c r="I35" s="12"/>
      <c r="J35" s="12"/>
      <c r="K35" s="12"/>
    </row>
    <row r="36" spans="1:11" x14ac:dyDescent="0.3">
      <c r="A36" s="1">
        <v>45403</v>
      </c>
      <c r="B36" s="1">
        <f>EOMONTH(Tbl_Scenario[[#This Row],[Date]],0)</f>
        <v>45412</v>
      </c>
      <c r="C36" s="12">
        <v>391852.28250000003</v>
      </c>
      <c r="D36" s="12">
        <v>394948.06199999998</v>
      </c>
      <c r="E36" s="12">
        <v>388214.28900000005</v>
      </c>
      <c r="I36" s="12"/>
      <c r="J36" s="12"/>
      <c r="K36" s="12"/>
    </row>
    <row r="37" spans="1:11" x14ac:dyDescent="0.3">
      <c r="A37" s="1">
        <v>45405</v>
      </c>
      <c r="B37" s="1">
        <f>EOMONTH(Tbl_Scenario[[#This Row],[Date]],0)</f>
        <v>45412</v>
      </c>
      <c r="C37" s="12">
        <v>260967.6</v>
      </c>
      <c r="D37" s="12">
        <v>263280.96000000002</v>
      </c>
      <c r="E37" s="12">
        <v>258654.24000000002</v>
      </c>
      <c r="I37" s="12"/>
      <c r="J37" s="12"/>
      <c r="K37" s="12"/>
    </row>
    <row r="38" spans="1:11" x14ac:dyDescent="0.3">
      <c r="A38" s="1">
        <v>45406</v>
      </c>
      <c r="B38" s="1">
        <f>EOMONTH(Tbl_Scenario[[#This Row],[Date]],0)</f>
        <v>45412</v>
      </c>
      <c r="C38" s="12">
        <v>406517.83875</v>
      </c>
      <c r="D38" s="12">
        <v>410191.45200000005</v>
      </c>
      <c r="E38" s="12">
        <v>401845.90049999999</v>
      </c>
      <c r="I38" s="12"/>
      <c r="J38" s="12"/>
      <c r="K38" s="12"/>
    </row>
    <row r="39" spans="1:11" x14ac:dyDescent="0.3">
      <c r="A39" s="1">
        <v>45407</v>
      </c>
      <c r="B39" s="1">
        <f>EOMONTH(Tbl_Scenario[[#This Row],[Date]],0)</f>
        <v>45412</v>
      </c>
      <c r="C39" s="12">
        <v>307914.61499999999</v>
      </c>
      <c r="D39" s="12">
        <v>310932.91800000001</v>
      </c>
      <c r="E39" s="12">
        <v>303745.62599999999</v>
      </c>
      <c r="I39" s="12"/>
      <c r="J39" s="12"/>
      <c r="K39" s="12"/>
    </row>
    <row r="40" spans="1:11" x14ac:dyDescent="0.3">
      <c r="A40" s="1">
        <v>45408</v>
      </c>
      <c r="B40" s="1">
        <f>EOMONTH(Tbl_Scenario[[#This Row],[Date]],0)</f>
        <v>45412</v>
      </c>
      <c r="C40" s="12">
        <v>391852.28250000003</v>
      </c>
      <c r="D40" s="12">
        <v>394948.06199999998</v>
      </c>
      <c r="E40" s="12">
        <v>388214.28900000005</v>
      </c>
      <c r="I40" s="12"/>
      <c r="J40" s="12"/>
      <c r="K40" s="12"/>
    </row>
    <row r="41" spans="1:11" x14ac:dyDescent="0.3">
      <c r="A41" s="1">
        <v>45419</v>
      </c>
      <c r="B41" s="1">
        <f>EOMONTH(Tbl_Scenario[[#This Row],[Date]],0)</f>
        <v>45443</v>
      </c>
      <c r="C41" s="12">
        <v>351265.20749999996</v>
      </c>
      <c r="D41" s="12">
        <v>355515.64199999999</v>
      </c>
      <c r="E41" s="12">
        <v>347014.77299999999</v>
      </c>
      <c r="I41" s="12"/>
      <c r="J41" s="12"/>
      <c r="K41" s="12"/>
    </row>
    <row r="42" spans="1:11" x14ac:dyDescent="0.3">
      <c r="A42" s="1">
        <v>45425</v>
      </c>
      <c r="B42" s="1">
        <f>EOMONTH(Tbl_Scenario[[#This Row],[Date]],0)</f>
        <v>45443</v>
      </c>
      <c r="C42" s="12">
        <v>231354.46875</v>
      </c>
      <c r="D42" s="12">
        <v>231536.02499999999</v>
      </c>
      <c r="E42" s="12">
        <v>230417.13750000001</v>
      </c>
      <c r="I42" s="12"/>
      <c r="J42" s="12"/>
      <c r="K42" s="12"/>
    </row>
    <row r="43" spans="1:11" x14ac:dyDescent="0.3">
      <c r="A43" s="1">
        <v>45428</v>
      </c>
      <c r="B43" s="1">
        <f>EOMONTH(Tbl_Scenario[[#This Row],[Date]],0)</f>
        <v>45443</v>
      </c>
      <c r="C43" s="12">
        <v>286956.15000000002</v>
      </c>
      <c r="D43" s="12">
        <v>291812.04000000004</v>
      </c>
      <c r="E43" s="12">
        <v>282100.26</v>
      </c>
      <c r="I43" s="12"/>
      <c r="J43" s="12"/>
      <c r="K43" s="12"/>
    </row>
    <row r="44" spans="1:11" x14ac:dyDescent="0.3">
      <c r="A44" s="1">
        <v>45436</v>
      </c>
      <c r="B44" s="1">
        <f>EOMONTH(Tbl_Scenario[[#This Row],[Date]],0)</f>
        <v>45443</v>
      </c>
      <c r="C44" s="12">
        <v>391852.28250000003</v>
      </c>
      <c r="D44" s="12">
        <v>394948.06199999998</v>
      </c>
      <c r="E44" s="12">
        <v>388214.28900000005</v>
      </c>
      <c r="I44" s="12"/>
      <c r="J44" s="12"/>
      <c r="K44" s="12"/>
    </row>
    <row r="45" spans="1:11" x14ac:dyDescent="0.3">
      <c r="A45" s="1">
        <v>45444</v>
      </c>
      <c r="B45" s="1">
        <f>EOMONTH(Tbl_Scenario[[#This Row],[Date]],0)</f>
        <v>45473</v>
      </c>
      <c r="C45" s="12">
        <v>260154.96</v>
      </c>
      <c r="D45" s="12">
        <v>263130.81599999999</v>
      </c>
      <c r="E45" s="12">
        <v>257179.10400000002</v>
      </c>
      <c r="I45" s="12"/>
      <c r="J45" s="12"/>
      <c r="K45" s="12"/>
    </row>
    <row r="46" spans="1:11" x14ac:dyDescent="0.3">
      <c r="A46" s="1">
        <v>45454</v>
      </c>
      <c r="B46" s="1">
        <f>EOMONTH(Tbl_Scenario[[#This Row],[Date]],0)</f>
        <v>45473</v>
      </c>
      <c r="C46" s="12">
        <v>318411.00000000006</v>
      </c>
      <c r="D46" s="12">
        <v>322365.59999999998</v>
      </c>
      <c r="E46" s="12">
        <v>314456.40000000002</v>
      </c>
      <c r="I46" s="12"/>
      <c r="J46" s="12"/>
      <c r="K46" s="12"/>
    </row>
    <row r="47" spans="1:11" x14ac:dyDescent="0.3">
      <c r="A47" s="1">
        <v>45458</v>
      </c>
      <c r="B47" s="1">
        <f>EOMONTH(Tbl_Scenario[[#This Row],[Date]],0)</f>
        <v>45473</v>
      </c>
      <c r="C47" s="12">
        <v>286956.15000000002</v>
      </c>
      <c r="D47" s="12">
        <v>291812.04000000004</v>
      </c>
      <c r="E47" s="12">
        <v>282100.26</v>
      </c>
      <c r="I47" s="12"/>
      <c r="J47" s="12"/>
      <c r="K47" s="12"/>
    </row>
    <row r="48" spans="1:11" x14ac:dyDescent="0.3">
      <c r="A48" s="1">
        <v>45463</v>
      </c>
      <c r="B48" s="1">
        <f>EOMONTH(Tbl_Scenario[[#This Row],[Date]],0)</f>
        <v>45473</v>
      </c>
      <c r="C48" s="12">
        <v>261990.30000000002</v>
      </c>
      <c r="D48" s="12">
        <v>266132.88</v>
      </c>
      <c r="E48" s="12">
        <v>257847.72</v>
      </c>
      <c r="I48" s="12"/>
      <c r="J48" s="12"/>
      <c r="K48" s="12"/>
    </row>
    <row r="49" spans="1:11" x14ac:dyDescent="0.3">
      <c r="A49" s="1">
        <v>45468</v>
      </c>
      <c r="B49" s="1">
        <f>EOMONTH(Tbl_Scenario[[#This Row],[Date]],0)</f>
        <v>45473</v>
      </c>
      <c r="C49" s="12">
        <v>241204.40625</v>
      </c>
      <c r="D49" s="12">
        <v>244881.67499999996</v>
      </c>
      <c r="E49" s="12">
        <v>237527.13749999998</v>
      </c>
      <c r="I49" s="12"/>
      <c r="J49" s="12"/>
      <c r="K49" s="12"/>
    </row>
    <row r="50" spans="1:11" x14ac:dyDescent="0.3">
      <c r="A50" s="1">
        <v>45470</v>
      </c>
      <c r="B50" s="1">
        <f>EOMONTH(Tbl_Scenario[[#This Row],[Date]],0)</f>
        <v>45473</v>
      </c>
      <c r="C50" s="12">
        <v>538403.625</v>
      </c>
      <c r="D50" s="12">
        <v>543072.30000000005</v>
      </c>
      <c r="E50" s="12">
        <v>533734.94999999995</v>
      </c>
      <c r="I50" s="12"/>
      <c r="J50" s="12"/>
      <c r="K50" s="12"/>
    </row>
    <row r="51" spans="1:11" x14ac:dyDescent="0.3">
      <c r="A51" s="1">
        <v>45471</v>
      </c>
      <c r="B51" s="1">
        <f>EOMONTH(Tbl_Scenario[[#This Row],[Date]],0)</f>
        <v>45473</v>
      </c>
      <c r="C51" s="12">
        <v>390264.88500000007</v>
      </c>
      <c r="D51" s="12">
        <v>394687.40400000004</v>
      </c>
      <c r="E51" s="12">
        <v>384900.174</v>
      </c>
      <c r="I51" s="12"/>
      <c r="J51" s="12"/>
      <c r="K51" s="12"/>
    </row>
    <row r="52" spans="1:11" x14ac:dyDescent="0.3">
      <c r="A52" s="1">
        <v>45472</v>
      </c>
      <c r="B52" s="1">
        <f>EOMONTH(Tbl_Scenario[[#This Row],[Date]],0)</f>
        <v>45473</v>
      </c>
      <c r="C52" s="12">
        <v>406517.83875</v>
      </c>
      <c r="D52" s="12">
        <v>410191.45200000005</v>
      </c>
      <c r="E52" s="12">
        <v>401845.90049999999</v>
      </c>
      <c r="I52" s="12"/>
      <c r="J52" s="12"/>
      <c r="K52" s="12"/>
    </row>
    <row r="53" spans="1:11" x14ac:dyDescent="0.3">
      <c r="A53" s="1">
        <v>45473</v>
      </c>
      <c r="B53" s="1">
        <f>EOMONTH(Tbl_Scenario[[#This Row],[Date]],0)</f>
        <v>45473</v>
      </c>
      <c r="C53" s="12">
        <v>406517.83875</v>
      </c>
      <c r="D53" s="12">
        <v>410191.45200000005</v>
      </c>
      <c r="E53" s="12">
        <v>401845.90049999999</v>
      </c>
      <c r="I53" s="12"/>
      <c r="J53" s="12"/>
      <c r="K53" s="12"/>
    </row>
    <row r="54" spans="1:11" x14ac:dyDescent="0.3">
      <c r="A54" s="1">
        <v>45474</v>
      </c>
      <c r="B54" s="1">
        <f>EOMONTH(Tbl_Scenario[[#This Row],[Date]],0)</f>
        <v>45504</v>
      </c>
      <c r="C54" s="12">
        <v>148045.78125</v>
      </c>
      <c r="D54" s="12">
        <v>149061.375</v>
      </c>
      <c r="E54" s="12">
        <v>147030.1875</v>
      </c>
      <c r="I54" s="12"/>
      <c r="J54" s="12"/>
      <c r="K54" s="12"/>
    </row>
    <row r="55" spans="1:11" x14ac:dyDescent="0.3">
      <c r="A55" s="1">
        <v>45478</v>
      </c>
      <c r="B55" s="1">
        <f>EOMONTH(Tbl_Scenario[[#This Row],[Date]],0)</f>
        <v>45504</v>
      </c>
      <c r="C55" s="12">
        <v>286956.15000000002</v>
      </c>
      <c r="D55" s="12">
        <v>291812.04000000004</v>
      </c>
      <c r="E55" s="12">
        <v>282100.26</v>
      </c>
      <c r="I55" s="12"/>
      <c r="J55" s="12"/>
      <c r="K55" s="12"/>
    </row>
    <row r="56" spans="1:11" x14ac:dyDescent="0.3">
      <c r="A56" s="1">
        <v>45480</v>
      </c>
      <c r="B56" s="1">
        <f>EOMONTH(Tbl_Scenario[[#This Row],[Date]],0)</f>
        <v>45504</v>
      </c>
      <c r="C56" s="12">
        <v>366207.375</v>
      </c>
      <c r="D56" s="12">
        <v>371313.30000000005</v>
      </c>
      <c r="E56" s="12">
        <v>361101.45</v>
      </c>
      <c r="I56" s="12"/>
      <c r="J56" s="12"/>
      <c r="K56" s="12"/>
    </row>
    <row r="57" spans="1:11" x14ac:dyDescent="0.3">
      <c r="A57" s="1">
        <v>45481</v>
      </c>
      <c r="B57" s="1">
        <f>EOMONTH(Tbl_Scenario[[#This Row],[Date]],0)</f>
        <v>45504</v>
      </c>
      <c r="C57" s="12">
        <v>295186.5</v>
      </c>
      <c r="D57" s="12">
        <v>296120.40000000002</v>
      </c>
      <c r="E57" s="12">
        <v>294252.59999999998</v>
      </c>
      <c r="I57" s="12"/>
      <c r="J57" s="12"/>
      <c r="K57" s="12"/>
    </row>
    <row r="58" spans="1:11" x14ac:dyDescent="0.3">
      <c r="A58" s="1">
        <v>45488</v>
      </c>
      <c r="B58" s="1">
        <f>EOMONTH(Tbl_Scenario[[#This Row],[Date]],0)</f>
        <v>45504</v>
      </c>
      <c r="C58" s="12">
        <v>149171.88</v>
      </c>
      <c r="D58" s="12">
        <v>152319.64800000002</v>
      </c>
      <c r="E58" s="12">
        <v>146024.11199999999</v>
      </c>
      <c r="I58" s="12"/>
      <c r="J58" s="12"/>
      <c r="K58" s="12"/>
    </row>
    <row r="59" spans="1:11" x14ac:dyDescent="0.3">
      <c r="A59" s="1">
        <v>45489</v>
      </c>
      <c r="B59" s="1">
        <f>EOMONTH(Tbl_Scenario[[#This Row],[Date]],0)</f>
        <v>45504</v>
      </c>
      <c r="C59" s="12">
        <v>241204.40625</v>
      </c>
      <c r="D59" s="12">
        <v>244881.67499999996</v>
      </c>
      <c r="E59" s="12">
        <v>237527.13749999998</v>
      </c>
      <c r="I59" s="12"/>
      <c r="J59" s="12"/>
      <c r="K59" s="12"/>
    </row>
    <row r="60" spans="1:11" x14ac:dyDescent="0.3">
      <c r="A60" s="1">
        <v>45492</v>
      </c>
      <c r="B60" s="1">
        <f>EOMONTH(Tbl_Scenario[[#This Row],[Date]],0)</f>
        <v>45504</v>
      </c>
      <c r="C60" s="12">
        <v>351265.20749999996</v>
      </c>
      <c r="D60" s="12">
        <v>355515.64199999999</v>
      </c>
      <c r="E60" s="12">
        <v>347014.77299999999</v>
      </c>
      <c r="I60" s="12"/>
      <c r="J60" s="12"/>
      <c r="K60" s="12"/>
    </row>
    <row r="61" spans="1:11" x14ac:dyDescent="0.3">
      <c r="A61" s="1">
        <v>45496</v>
      </c>
      <c r="B61" s="1">
        <f>EOMONTH(Tbl_Scenario[[#This Row],[Date]],0)</f>
        <v>45504</v>
      </c>
      <c r="C61" s="12">
        <v>295186.5</v>
      </c>
      <c r="D61" s="12">
        <v>296120.40000000002</v>
      </c>
      <c r="E61" s="12">
        <v>294252.59999999998</v>
      </c>
      <c r="I61" s="12"/>
      <c r="J61" s="12"/>
      <c r="K61" s="12"/>
    </row>
    <row r="62" spans="1:11" x14ac:dyDescent="0.3">
      <c r="A62" s="1">
        <v>45499</v>
      </c>
      <c r="B62" s="1">
        <f>EOMONTH(Tbl_Scenario[[#This Row],[Date]],0)</f>
        <v>45504</v>
      </c>
      <c r="C62" s="12">
        <v>351265.20749999996</v>
      </c>
      <c r="D62" s="12">
        <v>355515.64199999999</v>
      </c>
      <c r="E62" s="12">
        <v>347014.77299999999</v>
      </c>
      <c r="I62" s="12"/>
      <c r="J62" s="12"/>
      <c r="K62" s="12"/>
    </row>
    <row r="63" spans="1:11" x14ac:dyDescent="0.3">
      <c r="A63" s="1">
        <v>45500</v>
      </c>
      <c r="B63" s="1">
        <f>EOMONTH(Tbl_Scenario[[#This Row],[Date]],0)</f>
        <v>45504</v>
      </c>
      <c r="C63" s="12">
        <v>149171.88</v>
      </c>
      <c r="D63" s="12">
        <v>152319.64800000002</v>
      </c>
      <c r="E63" s="12">
        <v>146024.11199999999</v>
      </c>
      <c r="I63" s="12"/>
      <c r="J63" s="12"/>
      <c r="K63" s="12"/>
    </row>
    <row r="64" spans="1:11" x14ac:dyDescent="0.3">
      <c r="A64" s="1">
        <v>45502</v>
      </c>
      <c r="B64" s="1">
        <f>EOMONTH(Tbl_Scenario[[#This Row],[Date]],0)</f>
        <v>45504</v>
      </c>
      <c r="C64" s="12">
        <v>260154.96</v>
      </c>
      <c r="D64" s="12">
        <v>263130.81599999999</v>
      </c>
      <c r="E64" s="12">
        <v>257179.10400000002</v>
      </c>
      <c r="I64" s="12"/>
      <c r="J64" s="12"/>
      <c r="K64" s="12"/>
    </row>
    <row r="65" spans="1:11" x14ac:dyDescent="0.3">
      <c r="A65" s="1">
        <v>45503</v>
      </c>
      <c r="B65" s="1">
        <f>EOMONTH(Tbl_Scenario[[#This Row],[Date]],0)</f>
        <v>45504</v>
      </c>
      <c r="C65" s="12">
        <v>286956.15000000002</v>
      </c>
      <c r="D65" s="12">
        <v>291812.04000000004</v>
      </c>
      <c r="E65" s="12">
        <v>282100.26</v>
      </c>
      <c r="I65" s="12"/>
      <c r="J65" s="12"/>
      <c r="K65" s="12"/>
    </row>
    <row r="66" spans="1:11" x14ac:dyDescent="0.3">
      <c r="A66" s="1">
        <v>45509</v>
      </c>
      <c r="B66" s="1">
        <f>EOMONTH(Tbl_Scenario[[#This Row],[Date]],0)</f>
        <v>45535</v>
      </c>
      <c r="C66" s="12">
        <v>351265.20749999996</v>
      </c>
      <c r="D66" s="12">
        <v>355515.64199999999</v>
      </c>
      <c r="E66" s="12">
        <v>347014.77299999999</v>
      </c>
      <c r="I66" s="12"/>
      <c r="J66" s="12"/>
      <c r="K66" s="12"/>
    </row>
    <row r="67" spans="1:11" x14ac:dyDescent="0.3">
      <c r="A67" s="1">
        <v>45510</v>
      </c>
      <c r="B67" s="1">
        <f>EOMONTH(Tbl_Scenario[[#This Row],[Date]],0)</f>
        <v>45535</v>
      </c>
      <c r="C67" s="12">
        <v>231354.46875</v>
      </c>
      <c r="D67" s="12">
        <v>231536.02499999999</v>
      </c>
      <c r="E67" s="12">
        <v>230417.13750000001</v>
      </c>
      <c r="I67" s="12"/>
      <c r="J67" s="12"/>
      <c r="K67" s="12"/>
    </row>
    <row r="68" spans="1:11" x14ac:dyDescent="0.3">
      <c r="A68" s="1">
        <v>45511</v>
      </c>
      <c r="B68" s="1">
        <f>EOMONTH(Tbl_Scenario[[#This Row],[Date]],0)</f>
        <v>45535</v>
      </c>
      <c r="C68" s="12">
        <v>318411.00000000006</v>
      </c>
      <c r="D68" s="12">
        <v>322365.59999999998</v>
      </c>
      <c r="E68" s="12">
        <v>314456.40000000002</v>
      </c>
      <c r="I68" s="12"/>
      <c r="J68" s="12"/>
      <c r="K68" s="12"/>
    </row>
    <row r="69" spans="1:11" x14ac:dyDescent="0.3">
      <c r="A69" s="1">
        <v>45512</v>
      </c>
      <c r="B69" s="1">
        <f>EOMONTH(Tbl_Scenario[[#This Row],[Date]],0)</f>
        <v>45535</v>
      </c>
      <c r="C69" s="12">
        <v>332629.02</v>
      </c>
      <c r="D69" s="12">
        <v>338196.88800000004</v>
      </c>
      <c r="E69" s="12">
        <v>326211.04799999995</v>
      </c>
      <c r="I69" s="12"/>
      <c r="J69" s="12"/>
      <c r="K69" s="12"/>
    </row>
    <row r="70" spans="1:11" x14ac:dyDescent="0.3">
      <c r="A70" s="1">
        <v>45515</v>
      </c>
      <c r="B70" s="1">
        <f>EOMONTH(Tbl_Scenario[[#This Row],[Date]],0)</f>
        <v>45535</v>
      </c>
      <c r="C70" s="12">
        <v>390264.88500000007</v>
      </c>
      <c r="D70" s="12">
        <v>394687.40400000004</v>
      </c>
      <c r="E70" s="12">
        <v>384900.174</v>
      </c>
      <c r="I70" s="12"/>
      <c r="J70" s="12"/>
      <c r="K70" s="12"/>
    </row>
    <row r="71" spans="1:11" x14ac:dyDescent="0.3">
      <c r="A71" s="1">
        <v>45522</v>
      </c>
      <c r="B71" s="1">
        <f>EOMONTH(Tbl_Scenario[[#This Row],[Date]],0)</f>
        <v>45535</v>
      </c>
      <c r="C71" s="12">
        <v>257509.02374999999</v>
      </c>
      <c r="D71" s="12">
        <v>260237.853</v>
      </c>
      <c r="E71" s="12">
        <v>254780.19449999995</v>
      </c>
      <c r="I71" s="12"/>
      <c r="J71" s="12"/>
      <c r="K71" s="12"/>
    </row>
    <row r="72" spans="1:11" x14ac:dyDescent="0.3">
      <c r="A72" s="1">
        <v>45526</v>
      </c>
      <c r="B72" s="1">
        <f>EOMONTH(Tbl_Scenario[[#This Row],[Date]],0)</f>
        <v>45535</v>
      </c>
      <c r="C72" s="12">
        <v>420315.93000000005</v>
      </c>
      <c r="D72" s="12">
        <v>426153.52800000005</v>
      </c>
      <c r="E72" s="12">
        <v>414478.33199999999</v>
      </c>
      <c r="I72" s="12"/>
      <c r="J72" s="12"/>
      <c r="K72" s="12"/>
    </row>
    <row r="73" spans="1:11" x14ac:dyDescent="0.3">
      <c r="A73" s="1">
        <v>45528</v>
      </c>
      <c r="B73" s="1">
        <f>EOMONTH(Tbl_Scenario[[#This Row],[Date]],0)</f>
        <v>45535</v>
      </c>
      <c r="C73" s="12">
        <v>351265.20749999996</v>
      </c>
      <c r="D73" s="12">
        <v>355515.64199999999</v>
      </c>
      <c r="E73" s="12">
        <v>347014.77299999999</v>
      </c>
      <c r="I73" s="12"/>
      <c r="J73" s="12"/>
      <c r="K73" s="12"/>
    </row>
    <row r="74" spans="1:11" x14ac:dyDescent="0.3">
      <c r="A74" s="1">
        <v>45529</v>
      </c>
      <c r="B74" s="1">
        <f>EOMONTH(Tbl_Scenario[[#This Row],[Date]],0)</f>
        <v>45535</v>
      </c>
      <c r="C74" s="12">
        <v>391852.28250000003</v>
      </c>
      <c r="D74" s="12">
        <v>394948.06199999998</v>
      </c>
      <c r="E74" s="12">
        <v>388214.28900000005</v>
      </c>
      <c r="I74" s="12"/>
      <c r="J74" s="12"/>
      <c r="K74" s="12"/>
    </row>
    <row r="75" spans="1:11" x14ac:dyDescent="0.3">
      <c r="A75" s="1">
        <v>45530</v>
      </c>
      <c r="B75" s="1">
        <f>EOMONTH(Tbl_Scenario[[#This Row],[Date]],0)</f>
        <v>45535</v>
      </c>
      <c r="C75" s="12">
        <v>390264.88500000007</v>
      </c>
      <c r="D75" s="12">
        <v>394687.40400000004</v>
      </c>
      <c r="E75" s="12">
        <v>384900.174</v>
      </c>
      <c r="I75" s="12"/>
      <c r="J75" s="12"/>
      <c r="K75" s="12"/>
    </row>
    <row r="76" spans="1:11" x14ac:dyDescent="0.3">
      <c r="A76" s="1">
        <v>45537</v>
      </c>
      <c r="B76" s="1">
        <f>EOMONTH(Tbl_Scenario[[#This Row],[Date]],0)</f>
        <v>45565</v>
      </c>
      <c r="C76" s="12">
        <v>295186.5</v>
      </c>
      <c r="D76" s="12">
        <v>296120.40000000002</v>
      </c>
      <c r="E76" s="12">
        <v>294252.59999999998</v>
      </c>
      <c r="I76" s="12"/>
      <c r="J76" s="12"/>
      <c r="K76" s="12"/>
    </row>
    <row r="77" spans="1:11" x14ac:dyDescent="0.3">
      <c r="A77" s="1">
        <v>45540</v>
      </c>
      <c r="B77" s="1">
        <f>EOMONTH(Tbl_Scenario[[#This Row],[Date]],0)</f>
        <v>45565</v>
      </c>
      <c r="C77" s="12">
        <v>182943.15</v>
      </c>
      <c r="D77" s="12">
        <v>184827.24</v>
      </c>
      <c r="E77" s="12">
        <v>181059.06</v>
      </c>
      <c r="I77" s="12"/>
      <c r="J77" s="12"/>
      <c r="K77" s="12"/>
    </row>
    <row r="78" spans="1:11" x14ac:dyDescent="0.3">
      <c r="A78" s="1">
        <v>45543</v>
      </c>
      <c r="B78" s="1">
        <f>EOMONTH(Tbl_Scenario[[#This Row],[Date]],0)</f>
        <v>45565</v>
      </c>
      <c r="C78" s="12">
        <v>202676.94000000003</v>
      </c>
      <c r="D78" s="12">
        <v>204353.424</v>
      </c>
      <c r="E78" s="12">
        <v>201000.45600000001</v>
      </c>
      <c r="I78" s="12"/>
      <c r="J78" s="12"/>
      <c r="K78" s="12"/>
    </row>
    <row r="79" spans="1:11" x14ac:dyDescent="0.3">
      <c r="A79" s="1">
        <v>45546</v>
      </c>
      <c r="B79" s="1">
        <f>EOMONTH(Tbl_Scenario[[#This Row],[Date]],0)</f>
        <v>45565</v>
      </c>
      <c r="C79" s="12">
        <v>389052.39750000008</v>
      </c>
      <c r="D79" s="12">
        <v>392495.14199999999</v>
      </c>
      <c r="E79" s="12">
        <v>384622.32899999997</v>
      </c>
      <c r="I79" s="12"/>
      <c r="J79" s="12"/>
      <c r="K79" s="12"/>
    </row>
    <row r="80" spans="1:11" x14ac:dyDescent="0.3">
      <c r="A80" s="1">
        <v>45550</v>
      </c>
      <c r="B80" s="1">
        <f>EOMONTH(Tbl_Scenario[[#This Row],[Date]],0)</f>
        <v>45565</v>
      </c>
      <c r="C80" s="12">
        <v>366207.375</v>
      </c>
      <c r="D80" s="12">
        <v>371313.30000000005</v>
      </c>
      <c r="E80" s="12">
        <v>361101.45</v>
      </c>
      <c r="I80" s="12"/>
      <c r="J80" s="12"/>
      <c r="K80" s="12"/>
    </row>
    <row r="81" spans="1:11" x14ac:dyDescent="0.3">
      <c r="A81" s="1">
        <v>45555</v>
      </c>
      <c r="B81" s="1">
        <f>EOMONTH(Tbl_Scenario[[#This Row],[Date]],0)</f>
        <v>45565</v>
      </c>
      <c r="C81" s="12">
        <v>260967.6</v>
      </c>
      <c r="D81" s="12">
        <v>263280.96000000002</v>
      </c>
      <c r="E81" s="12">
        <v>258654.24000000002</v>
      </c>
      <c r="I81" s="12"/>
      <c r="J81" s="12"/>
      <c r="K81" s="12"/>
    </row>
    <row r="82" spans="1:11" x14ac:dyDescent="0.3">
      <c r="A82" s="1">
        <v>45561</v>
      </c>
      <c r="B82" s="1">
        <f>EOMONTH(Tbl_Scenario[[#This Row],[Date]],0)</f>
        <v>45565</v>
      </c>
      <c r="C82" s="12">
        <v>261990.30000000002</v>
      </c>
      <c r="D82" s="12">
        <v>266132.88</v>
      </c>
      <c r="E82" s="12">
        <v>257847.72</v>
      </c>
      <c r="I82" s="12"/>
      <c r="J82" s="12"/>
      <c r="K82" s="12"/>
    </row>
    <row r="83" spans="1:11" x14ac:dyDescent="0.3">
      <c r="A83" s="1">
        <v>45562</v>
      </c>
      <c r="B83" s="1">
        <f>EOMONTH(Tbl_Scenario[[#This Row],[Date]],0)</f>
        <v>45565</v>
      </c>
      <c r="C83" s="12">
        <v>295186.5</v>
      </c>
      <c r="D83" s="12">
        <v>296120.40000000002</v>
      </c>
      <c r="E83" s="12">
        <v>294252.59999999998</v>
      </c>
      <c r="I83" s="12"/>
      <c r="J83" s="12"/>
      <c r="K83" s="12"/>
    </row>
    <row r="84" spans="1:11" x14ac:dyDescent="0.3">
      <c r="A84" s="1">
        <v>45574</v>
      </c>
      <c r="B84" s="1">
        <f>EOMONTH(Tbl_Scenario[[#This Row],[Date]],0)</f>
        <v>45596</v>
      </c>
      <c r="C84" s="12">
        <v>307914.61499999999</v>
      </c>
      <c r="D84" s="12">
        <v>310932.91800000001</v>
      </c>
      <c r="E84" s="12">
        <v>303745.62599999999</v>
      </c>
      <c r="I84" s="12"/>
      <c r="J84" s="12"/>
      <c r="K84" s="12"/>
    </row>
    <row r="85" spans="1:11" x14ac:dyDescent="0.3">
      <c r="A85" s="1">
        <v>45587</v>
      </c>
      <c r="B85" s="1">
        <f>EOMONTH(Tbl_Scenario[[#This Row],[Date]],0)</f>
        <v>45596</v>
      </c>
      <c r="C85" s="12">
        <v>241204.40625</v>
      </c>
      <c r="D85" s="12">
        <v>244881.67499999996</v>
      </c>
      <c r="E85" s="12">
        <v>237527.13749999998</v>
      </c>
      <c r="I85" s="12"/>
      <c r="J85" s="12"/>
      <c r="K85" s="12"/>
    </row>
    <row r="86" spans="1:11" x14ac:dyDescent="0.3">
      <c r="A86" s="1">
        <v>45588</v>
      </c>
      <c r="B86" s="1">
        <f>EOMONTH(Tbl_Scenario[[#This Row],[Date]],0)</f>
        <v>45596</v>
      </c>
      <c r="C86" s="12">
        <v>174920.4</v>
      </c>
      <c r="D86" s="12">
        <v>175803.84</v>
      </c>
      <c r="E86" s="12">
        <v>174036.96</v>
      </c>
      <c r="I86" s="12"/>
      <c r="J86" s="12"/>
      <c r="K86" s="12"/>
    </row>
    <row r="87" spans="1:11" x14ac:dyDescent="0.3">
      <c r="A87" s="1">
        <v>45589</v>
      </c>
      <c r="B87" s="1">
        <f>EOMONTH(Tbl_Scenario[[#This Row],[Date]],0)</f>
        <v>45596</v>
      </c>
      <c r="C87" s="12">
        <v>351265.20749999996</v>
      </c>
      <c r="D87" s="12">
        <v>355515.64199999999</v>
      </c>
      <c r="E87" s="12">
        <v>347014.77299999999</v>
      </c>
      <c r="I87" s="12"/>
      <c r="J87" s="12"/>
      <c r="K87" s="12"/>
    </row>
    <row r="88" spans="1:11" x14ac:dyDescent="0.3">
      <c r="A88" s="1">
        <v>45594</v>
      </c>
      <c r="B88" s="1">
        <f>EOMONTH(Tbl_Scenario[[#This Row],[Date]],0)</f>
        <v>45596</v>
      </c>
      <c r="C88" s="12">
        <v>174920.4</v>
      </c>
      <c r="D88" s="12">
        <v>175803.84</v>
      </c>
      <c r="E88" s="12">
        <v>174036.96</v>
      </c>
      <c r="I88" s="12"/>
      <c r="J88" s="12"/>
      <c r="K88" s="12"/>
    </row>
    <row r="89" spans="1:11" x14ac:dyDescent="0.3">
      <c r="A89" s="1">
        <v>45595</v>
      </c>
      <c r="B89" s="1">
        <f>EOMONTH(Tbl_Scenario[[#This Row],[Date]],0)</f>
        <v>45596</v>
      </c>
      <c r="C89" s="12">
        <v>351265.20749999996</v>
      </c>
      <c r="D89" s="12">
        <v>355515.64199999999</v>
      </c>
      <c r="E89" s="12">
        <v>347014.77299999999</v>
      </c>
      <c r="I89" s="12"/>
      <c r="J89" s="12"/>
      <c r="K89" s="12"/>
    </row>
    <row r="90" spans="1:11" x14ac:dyDescent="0.3">
      <c r="A90" s="1">
        <v>45596</v>
      </c>
      <c r="B90" s="1">
        <f>EOMONTH(Tbl_Scenario[[#This Row],[Date]],0)</f>
        <v>45596</v>
      </c>
      <c r="C90" s="12">
        <v>389052.39750000008</v>
      </c>
      <c r="D90" s="12">
        <v>392495.14199999999</v>
      </c>
      <c r="E90" s="12">
        <v>384622.32899999997</v>
      </c>
      <c r="I90" s="12"/>
      <c r="J90" s="12"/>
      <c r="K90" s="12"/>
    </row>
    <row r="91" spans="1:11" x14ac:dyDescent="0.3">
      <c r="A91" s="1">
        <v>45597</v>
      </c>
      <c r="B91" s="1">
        <f>EOMONTH(Tbl_Scenario[[#This Row],[Date]],0)</f>
        <v>45626</v>
      </c>
      <c r="C91" s="12">
        <v>366207.375</v>
      </c>
      <c r="D91" s="12">
        <v>371313.30000000005</v>
      </c>
      <c r="E91" s="12">
        <v>361101.45</v>
      </c>
      <c r="I91" s="12"/>
      <c r="J91" s="12"/>
      <c r="K91" s="12"/>
    </row>
    <row r="92" spans="1:11" x14ac:dyDescent="0.3">
      <c r="A92" s="1">
        <v>45599</v>
      </c>
      <c r="B92" s="1">
        <f>EOMONTH(Tbl_Scenario[[#This Row],[Date]],0)</f>
        <v>45626</v>
      </c>
      <c r="C92" s="12">
        <v>389052.39750000008</v>
      </c>
      <c r="D92" s="12">
        <v>392495.14199999999</v>
      </c>
      <c r="E92" s="12">
        <v>384622.32899999997</v>
      </c>
      <c r="I92" s="12"/>
      <c r="J92" s="12"/>
      <c r="K92" s="12"/>
    </row>
    <row r="93" spans="1:11" x14ac:dyDescent="0.3">
      <c r="A93" s="1">
        <v>45621</v>
      </c>
      <c r="B93" s="1">
        <f>EOMONTH(Tbl_Scenario[[#This Row],[Date]],0)</f>
        <v>45626</v>
      </c>
      <c r="C93" s="12">
        <v>420315.93000000005</v>
      </c>
      <c r="D93" s="12">
        <v>426153.52800000005</v>
      </c>
      <c r="E93" s="12">
        <v>414478.33199999999</v>
      </c>
      <c r="I93" s="12"/>
      <c r="J93" s="12"/>
      <c r="K93" s="12"/>
    </row>
    <row r="94" spans="1:11" x14ac:dyDescent="0.3">
      <c r="A94" s="1">
        <v>45624</v>
      </c>
      <c r="B94" s="1">
        <f>EOMONTH(Tbl_Scenario[[#This Row],[Date]],0)</f>
        <v>45626</v>
      </c>
      <c r="C94" s="12">
        <v>295186.5</v>
      </c>
      <c r="D94" s="12">
        <v>296120.40000000002</v>
      </c>
      <c r="E94" s="12">
        <v>294252.59999999998</v>
      </c>
      <c r="I94" s="12"/>
      <c r="J94" s="12"/>
      <c r="K94" s="12"/>
    </row>
    <row r="95" spans="1:11" x14ac:dyDescent="0.3">
      <c r="A95" s="1">
        <v>45625</v>
      </c>
      <c r="B95" s="1">
        <f>EOMONTH(Tbl_Scenario[[#This Row],[Date]],0)</f>
        <v>45626</v>
      </c>
      <c r="C95" s="12">
        <v>261990.30000000002</v>
      </c>
      <c r="D95" s="12">
        <v>266132.88</v>
      </c>
      <c r="E95" s="12">
        <v>257847.72</v>
      </c>
      <c r="I95" s="12"/>
      <c r="J95" s="12"/>
      <c r="K95" s="12"/>
    </row>
    <row r="96" spans="1:11" x14ac:dyDescent="0.3">
      <c r="A96" s="1">
        <v>45628</v>
      </c>
      <c r="B96" s="1">
        <f>EOMONTH(Tbl_Scenario[[#This Row],[Date]],0)</f>
        <v>45657</v>
      </c>
      <c r="C96" s="12">
        <v>390264.88500000007</v>
      </c>
      <c r="D96" s="12">
        <v>394687.40400000004</v>
      </c>
      <c r="E96" s="12">
        <v>384900.174</v>
      </c>
      <c r="I96" s="12"/>
      <c r="J96" s="12"/>
      <c r="K96" s="12"/>
    </row>
    <row r="97" spans="1:11" x14ac:dyDescent="0.3">
      <c r="A97" s="1">
        <v>45634</v>
      </c>
      <c r="B97" s="1">
        <f>EOMONTH(Tbl_Scenario[[#This Row],[Date]],0)</f>
        <v>45657</v>
      </c>
      <c r="C97" s="12">
        <v>182943.15</v>
      </c>
      <c r="D97" s="12">
        <v>184827.24</v>
      </c>
      <c r="E97" s="12">
        <v>181059.06</v>
      </c>
      <c r="I97" s="12"/>
      <c r="J97" s="12"/>
      <c r="K97" s="12"/>
    </row>
    <row r="98" spans="1:11" x14ac:dyDescent="0.3">
      <c r="A98" s="1">
        <v>45636</v>
      </c>
      <c r="B98" s="1">
        <f>EOMONTH(Tbl_Scenario[[#This Row],[Date]],0)</f>
        <v>45657</v>
      </c>
      <c r="C98" s="12">
        <v>332629.02</v>
      </c>
      <c r="D98" s="12">
        <v>338196.88800000004</v>
      </c>
      <c r="E98" s="12">
        <v>326211.04799999995</v>
      </c>
      <c r="I98" s="12"/>
      <c r="J98" s="12"/>
      <c r="K98" s="12"/>
    </row>
    <row r="99" spans="1:11" x14ac:dyDescent="0.3">
      <c r="A99" s="1">
        <v>45638</v>
      </c>
      <c r="B99" s="1">
        <f>EOMONTH(Tbl_Scenario[[#This Row],[Date]],0)</f>
        <v>45657</v>
      </c>
      <c r="C99" s="12">
        <v>366207.375</v>
      </c>
      <c r="D99" s="12">
        <v>371313.30000000005</v>
      </c>
      <c r="E99" s="12">
        <v>361101.45</v>
      </c>
      <c r="I99" s="12"/>
      <c r="J99" s="12"/>
      <c r="K99" s="12"/>
    </row>
    <row r="100" spans="1:11" x14ac:dyDescent="0.3">
      <c r="A100" s="1">
        <v>45639</v>
      </c>
      <c r="B100" s="1">
        <f>EOMONTH(Tbl_Scenario[[#This Row],[Date]],0)</f>
        <v>45657</v>
      </c>
      <c r="C100" s="12">
        <v>318411.00000000006</v>
      </c>
      <c r="D100" s="12">
        <v>322365.59999999998</v>
      </c>
      <c r="E100" s="12">
        <v>314456.40000000002</v>
      </c>
      <c r="I100" s="12"/>
      <c r="J100" s="12"/>
      <c r="K100" s="12"/>
    </row>
    <row r="101" spans="1:11" x14ac:dyDescent="0.3">
      <c r="A101" s="1">
        <v>45641</v>
      </c>
      <c r="B101" s="1">
        <f>EOMONTH(Tbl_Scenario[[#This Row],[Date]],0)</f>
        <v>45657</v>
      </c>
      <c r="C101" s="12">
        <v>260154.96</v>
      </c>
      <c r="D101" s="12">
        <v>263130.81599999999</v>
      </c>
      <c r="E101" s="12">
        <v>257179.10400000002</v>
      </c>
      <c r="I101" s="12"/>
      <c r="J101" s="12"/>
      <c r="K101" s="12"/>
    </row>
    <row r="102" spans="1:11" x14ac:dyDescent="0.3">
      <c r="A102" s="1">
        <v>45654</v>
      </c>
      <c r="B102" s="1">
        <f>EOMONTH(Tbl_Scenario[[#This Row],[Date]],0)</f>
        <v>45657</v>
      </c>
      <c r="C102" s="12">
        <v>406517.83875</v>
      </c>
      <c r="D102" s="12">
        <v>410191.45200000005</v>
      </c>
      <c r="E102" s="12">
        <v>401845.90049999999</v>
      </c>
      <c r="I102" s="12"/>
      <c r="J102" s="12"/>
      <c r="K102" s="12"/>
    </row>
    <row r="103" spans="1:11" x14ac:dyDescent="0.3">
      <c r="A103" s="1">
        <v>45660</v>
      </c>
      <c r="B103" s="1">
        <f>EOMONTH(Tbl_Scenario[[#This Row],[Date]],0)</f>
        <v>45688</v>
      </c>
      <c r="C103" s="12">
        <v>231354.46875</v>
      </c>
      <c r="D103" s="12">
        <v>231536.02499999999</v>
      </c>
      <c r="E103" s="12">
        <v>230417.13750000001</v>
      </c>
      <c r="I103" s="12"/>
      <c r="J103" s="12"/>
      <c r="K103" s="12"/>
    </row>
    <row r="104" spans="1:11" x14ac:dyDescent="0.3">
      <c r="A104" s="1">
        <v>45663</v>
      </c>
      <c r="B104" s="1">
        <f>EOMONTH(Tbl_Scenario[[#This Row],[Date]],0)</f>
        <v>45688</v>
      </c>
      <c r="C104" s="12">
        <v>366207.375</v>
      </c>
      <c r="D104" s="12">
        <v>371313.30000000005</v>
      </c>
      <c r="E104" s="12">
        <v>361101.45</v>
      </c>
      <c r="I104" s="12"/>
      <c r="J104" s="12"/>
      <c r="K104" s="12"/>
    </row>
    <row r="105" spans="1:11" x14ac:dyDescent="0.3">
      <c r="A105" s="1">
        <v>45665</v>
      </c>
      <c r="B105" s="1">
        <f>EOMONTH(Tbl_Scenario[[#This Row],[Date]],0)</f>
        <v>45688</v>
      </c>
      <c r="C105" s="12">
        <v>351265.20749999996</v>
      </c>
      <c r="D105" s="12">
        <v>355515.64199999999</v>
      </c>
      <c r="E105" s="12">
        <v>347014.77299999999</v>
      </c>
      <c r="I105" s="12"/>
      <c r="J105" s="12"/>
      <c r="K105" s="12"/>
    </row>
    <row r="106" spans="1:11" x14ac:dyDescent="0.3">
      <c r="A106" s="1">
        <v>45666</v>
      </c>
      <c r="B106" s="1">
        <f>EOMONTH(Tbl_Scenario[[#This Row],[Date]],0)</f>
        <v>45688</v>
      </c>
      <c r="C106" s="12">
        <v>174920.4</v>
      </c>
      <c r="D106" s="12">
        <v>175803.84</v>
      </c>
      <c r="E106" s="12">
        <v>174036.96</v>
      </c>
      <c r="I106" s="12"/>
      <c r="J106" s="12"/>
      <c r="K106" s="12"/>
    </row>
    <row r="107" spans="1:11" x14ac:dyDescent="0.3">
      <c r="A107" s="1">
        <v>45670</v>
      </c>
      <c r="B107" s="1">
        <f>EOMONTH(Tbl_Scenario[[#This Row],[Date]],0)</f>
        <v>45688</v>
      </c>
      <c r="C107" s="12">
        <v>286956.15000000002</v>
      </c>
      <c r="D107" s="12">
        <v>291812.04000000004</v>
      </c>
      <c r="E107" s="12">
        <v>282100.26</v>
      </c>
      <c r="I107" s="12"/>
      <c r="J107" s="12"/>
      <c r="K107" s="12"/>
    </row>
    <row r="108" spans="1:11" x14ac:dyDescent="0.3">
      <c r="A108" s="1">
        <v>45671</v>
      </c>
      <c r="B108" s="1">
        <f>EOMONTH(Tbl_Scenario[[#This Row],[Date]],0)</f>
        <v>45688</v>
      </c>
      <c r="C108" s="12">
        <v>391852.28250000003</v>
      </c>
      <c r="D108" s="12">
        <v>394948.06199999998</v>
      </c>
      <c r="E108" s="12">
        <v>388214.28900000005</v>
      </c>
      <c r="I108" s="12"/>
      <c r="J108" s="12"/>
      <c r="K108" s="12"/>
    </row>
    <row r="109" spans="1:11" x14ac:dyDescent="0.3">
      <c r="A109" s="1">
        <v>45682</v>
      </c>
      <c r="B109" s="1">
        <f>EOMONTH(Tbl_Scenario[[#This Row],[Date]],0)</f>
        <v>45688</v>
      </c>
      <c r="C109" s="12">
        <v>390264.88500000007</v>
      </c>
      <c r="D109" s="12">
        <v>394687.40400000004</v>
      </c>
      <c r="E109" s="12">
        <v>384900.174</v>
      </c>
      <c r="I109" s="12"/>
      <c r="J109" s="12"/>
      <c r="K109" s="12"/>
    </row>
    <row r="110" spans="1:11" x14ac:dyDescent="0.3">
      <c r="A110" s="1">
        <v>45685</v>
      </c>
      <c r="B110" s="1">
        <f>EOMONTH(Tbl_Scenario[[#This Row],[Date]],0)</f>
        <v>45688</v>
      </c>
      <c r="C110" s="12">
        <v>390264.88500000007</v>
      </c>
      <c r="D110" s="12">
        <v>394687.40400000004</v>
      </c>
      <c r="E110" s="12">
        <v>384900.174</v>
      </c>
      <c r="I110" s="12"/>
      <c r="J110" s="12"/>
      <c r="K110" s="12"/>
    </row>
    <row r="111" spans="1:11" x14ac:dyDescent="0.3">
      <c r="A111" s="1">
        <v>45695</v>
      </c>
      <c r="B111" s="1">
        <f>EOMONTH(Tbl_Scenario[[#This Row],[Date]],0)</f>
        <v>45716</v>
      </c>
      <c r="C111" s="12">
        <v>389052.39750000008</v>
      </c>
      <c r="D111" s="12">
        <v>392495.14199999999</v>
      </c>
      <c r="E111" s="12">
        <v>384622.32899999997</v>
      </c>
      <c r="I111" s="12"/>
      <c r="J111" s="12"/>
      <c r="K111" s="12"/>
    </row>
    <row r="112" spans="1:11" x14ac:dyDescent="0.3">
      <c r="A112" s="1">
        <v>45696</v>
      </c>
      <c r="B112" s="1">
        <f>EOMONTH(Tbl_Scenario[[#This Row],[Date]],0)</f>
        <v>45716</v>
      </c>
      <c r="C112" s="12">
        <v>391852.28250000003</v>
      </c>
      <c r="D112" s="12">
        <v>394948.06199999998</v>
      </c>
      <c r="E112" s="12">
        <v>388214.28900000005</v>
      </c>
      <c r="I112" s="12"/>
      <c r="J112" s="12"/>
      <c r="K112" s="12"/>
    </row>
    <row r="113" spans="1:11" x14ac:dyDescent="0.3">
      <c r="A113" s="1">
        <v>45697</v>
      </c>
      <c r="B113" s="1">
        <f>EOMONTH(Tbl_Scenario[[#This Row],[Date]],0)</f>
        <v>45716</v>
      </c>
      <c r="C113" s="12">
        <v>538403.625</v>
      </c>
      <c r="D113" s="12">
        <v>543072.30000000005</v>
      </c>
      <c r="E113" s="12">
        <v>533734.94999999995</v>
      </c>
      <c r="I113" s="12"/>
      <c r="J113" s="12"/>
      <c r="K113" s="12"/>
    </row>
    <row r="114" spans="1:11" x14ac:dyDescent="0.3">
      <c r="A114" s="1">
        <v>45698</v>
      </c>
      <c r="B114" s="1">
        <f>EOMONTH(Tbl_Scenario[[#This Row],[Date]],0)</f>
        <v>45716</v>
      </c>
      <c r="C114" s="12">
        <v>538403.625</v>
      </c>
      <c r="D114" s="12">
        <v>543072.30000000005</v>
      </c>
      <c r="E114" s="12">
        <v>533734.94999999995</v>
      </c>
      <c r="I114" s="12"/>
      <c r="J114" s="12"/>
      <c r="K114" s="12"/>
    </row>
    <row r="115" spans="1:11" x14ac:dyDescent="0.3">
      <c r="A115" s="1">
        <v>45707</v>
      </c>
      <c r="B115" s="1">
        <f>EOMONTH(Tbl_Scenario[[#This Row],[Date]],0)</f>
        <v>45716</v>
      </c>
      <c r="C115" s="12">
        <v>286956.15000000002</v>
      </c>
      <c r="D115" s="12">
        <v>291812.04000000004</v>
      </c>
      <c r="E115" s="12">
        <v>282100.26</v>
      </c>
      <c r="I115" s="12"/>
      <c r="J115" s="12"/>
      <c r="K115" s="12"/>
    </row>
    <row r="116" spans="1:11" x14ac:dyDescent="0.3">
      <c r="A116" s="1">
        <v>45722</v>
      </c>
      <c r="B116" s="1">
        <f>EOMONTH(Tbl_Scenario[[#This Row],[Date]],0)</f>
        <v>45747</v>
      </c>
      <c r="C116" s="12">
        <v>261990.30000000002</v>
      </c>
      <c r="D116" s="12">
        <v>266132.88</v>
      </c>
      <c r="E116" s="12">
        <v>257847.72</v>
      </c>
      <c r="I116" s="12"/>
      <c r="J116" s="12"/>
      <c r="K116" s="12"/>
    </row>
    <row r="117" spans="1:11" x14ac:dyDescent="0.3">
      <c r="A117" s="1">
        <v>45723</v>
      </c>
      <c r="B117" s="1">
        <f>EOMONTH(Tbl_Scenario[[#This Row],[Date]],0)</f>
        <v>45747</v>
      </c>
      <c r="C117" s="12">
        <v>406517.83875</v>
      </c>
      <c r="D117" s="12">
        <v>410191.45200000005</v>
      </c>
      <c r="E117" s="12">
        <v>401845.90049999999</v>
      </c>
      <c r="I117" s="12"/>
      <c r="J117" s="12"/>
      <c r="K117" s="12"/>
    </row>
    <row r="118" spans="1:11" x14ac:dyDescent="0.3">
      <c r="A118" s="1">
        <v>45724</v>
      </c>
      <c r="B118" s="1">
        <f>EOMONTH(Tbl_Scenario[[#This Row],[Date]],0)</f>
        <v>45747</v>
      </c>
      <c r="C118" s="12">
        <v>391852.28250000003</v>
      </c>
      <c r="D118" s="12">
        <v>394948.06199999998</v>
      </c>
      <c r="E118" s="12">
        <v>388214.28900000005</v>
      </c>
      <c r="I118" s="12"/>
      <c r="J118" s="12"/>
      <c r="K118" s="12"/>
    </row>
    <row r="119" spans="1:11" x14ac:dyDescent="0.3">
      <c r="A119" s="1">
        <v>45736</v>
      </c>
      <c r="B119" s="1">
        <f>EOMONTH(Tbl_Scenario[[#This Row],[Date]],0)</f>
        <v>45747</v>
      </c>
      <c r="C119" s="12">
        <v>420315.93000000005</v>
      </c>
      <c r="D119" s="12">
        <v>426153.52800000005</v>
      </c>
      <c r="E119" s="12">
        <v>414478.33199999999</v>
      </c>
      <c r="I119" s="12"/>
      <c r="J119" s="12"/>
      <c r="K119" s="12"/>
    </row>
    <row r="120" spans="1:11" x14ac:dyDescent="0.3">
      <c r="A120" s="1">
        <v>45738</v>
      </c>
      <c r="B120" s="1">
        <f>EOMONTH(Tbl_Scenario[[#This Row],[Date]],0)</f>
        <v>45747</v>
      </c>
      <c r="C120" s="12">
        <v>257509.02374999999</v>
      </c>
      <c r="D120" s="12">
        <v>260237.853</v>
      </c>
      <c r="E120" s="12">
        <v>254780.19449999995</v>
      </c>
      <c r="I120" s="12"/>
      <c r="J120" s="12"/>
      <c r="K120" s="12"/>
    </row>
    <row r="121" spans="1:11" x14ac:dyDescent="0.3">
      <c r="A121" s="1">
        <v>45739</v>
      </c>
      <c r="B121" s="1">
        <f>EOMONTH(Tbl_Scenario[[#This Row],[Date]],0)</f>
        <v>45747</v>
      </c>
      <c r="C121" s="12">
        <v>406517.83875</v>
      </c>
      <c r="D121" s="12">
        <v>410191.45200000005</v>
      </c>
      <c r="E121" s="12">
        <v>401845.90049999999</v>
      </c>
      <c r="I121" s="12"/>
      <c r="J121" s="12"/>
      <c r="K121" s="12"/>
    </row>
    <row r="122" spans="1:11" x14ac:dyDescent="0.3">
      <c r="A122" s="1">
        <v>45740</v>
      </c>
      <c r="B122" s="1">
        <f>EOMONTH(Tbl_Scenario[[#This Row],[Date]],0)</f>
        <v>45747</v>
      </c>
      <c r="C122" s="12">
        <v>260967.6</v>
      </c>
      <c r="D122" s="12">
        <v>263280.96000000002</v>
      </c>
      <c r="E122" s="12">
        <v>258654.24000000002</v>
      </c>
      <c r="I122" s="12"/>
      <c r="J122" s="12"/>
      <c r="K122" s="12"/>
    </row>
    <row r="123" spans="1:11" x14ac:dyDescent="0.3">
      <c r="A123" s="1">
        <v>45746</v>
      </c>
      <c r="B123" s="1">
        <f>EOMONTH(Tbl_Scenario[[#This Row],[Date]],0)</f>
        <v>45747</v>
      </c>
      <c r="C123" s="12">
        <v>538403.625</v>
      </c>
      <c r="D123" s="12">
        <v>543072.30000000005</v>
      </c>
      <c r="E123" s="12">
        <v>533734.94999999995</v>
      </c>
      <c r="I123" s="12"/>
      <c r="J123" s="12"/>
      <c r="K123" s="12"/>
    </row>
    <row r="124" spans="1:11" x14ac:dyDescent="0.3">
      <c r="A124" s="1">
        <v>45747</v>
      </c>
      <c r="B124" s="1">
        <f>EOMONTH(Tbl_Scenario[[#This Row],[Date]],0)</f>
        <v>45747</v>
      </c>
      <c r="C124" s="12">
        <v>420315.93000000005</v>
      </c>
      <c r="D124" s="12">
        <v>426153.52800000005</v>
      </c>
      <c r="E124" s="12">
        <v>414478.33199999999</v>
      </c>
      <c r="I124" s="12"/>
      <c r="J124" s="12"/>
      <c r="K124" s="12"/>
    </row>
    <row r="125" spans="1:11" x14ac:dyDescent="0.3">
      <c r="A125" s="1">
        <v>45748</v>
      </c>
      <c r="B125" s="1">
        <f>EOMONTH(Tbl_Scenario[[#This Row],[Date]],0)</f>
        <v>45777</v>
      </c>
      <c r="C125" s="12">
        <v>389052.39750000008</v>
      </c>
      <c r="D125" s="12">
        <v>392495.14199999999</v>
      </c>
      <c r="E125" s="12">
        <v>384622.32899999997</v>
      </c>
      <c r="I125" s="12"/>
      <c r="J125" s="12"/>
      <c r="K125" s="12"/>
    </row>
    <row r="126" spans="1:11" x14ac:dyDescent="0.3">
      <c r="A126" s="1">
        <v>45753</v>
      </c>
      <c r="B126" s="1">
        <f>EOMONTH(Tbl_Scenario[[#This Row],[Date]],0)</f>
        <v>45777</v>
      </c>
      <c r="C126" s="12">
        <v>241204.40625</v>
      </c>
      <c r="D126" s="12">
        <v>244881.67499999996</v>
      </c>
      <c r="E126" s="12">
        <v>237527.13749999998</v>
      </c>
      <c r="I126" s="12"/>
      <c r="J126" s="12"/>
      <c r="K126" s="12"/>
    </row>
    <row r="127" spans="1:11" x14ac:dyDescent="0.3">
      <c r="A127" s="1">
        <v>45754</v>
      </c>
      <c r="B127" s="1">
        <f>EOMONTH(Tbl_Scenario[[#This Row],[Date]],0)</f>
        <v>45777</v>
      </c>
      <c r="C127" s="12">
        <v>260967.6</v>
      </c>
      <c r="D127" s="12">
        <v>263280.96000000002</v>
      </c>
      <c r="E127" s="12">
        <v>258654.24000000002</v>
      </c>
      <c r="I127" s="12"/>
      <c r="J127" s="12"/>
      <c r="K127" s="12"/>
    </row>
    <row r="128" spans="1:11" x14ac:dyDescent="0.3">
      <c r="A128" s="1">
        <v>45755</v>
      </c>
      <c r="B128" s="1">
        <f>EOMONTH(Tbl_Scenario[[#This Row],[Date]],0)</f>
        <v>45777</v>
      </c>
      <c r="C128" s="12">
        <v>241204.40625</v>
      </c>
      <c r="D128" s="12">
        <v>244881.67499999996</v>
      </c>
      <c r="E128" s="12">
        <v>237527.13749999998</v>
      </c>
      <c r="I128" s="12"/>
      <c r="J128" s="12"/>
      <c r="K128" s="12"/>
    </row>
    <row r="129" spans="1:11" x14ac:dyDescent="0.3">
      <c r="A129" s="1">
        <v>45757</v>
      </c>
      <c r="B129" s="1">
        <f>EOMONTH(Tbl_Scenario[[#This Row],[Date]],0)</f>
        <v>45777</v>
      </c>
      <c r="C129" s="12">
        <v>257509.02374999999</v>
      </c>
      <c r="D129" s="12">
        <v>260237.853</v>
      </c>
      <c r="E129" s="12">
        <v>254780.19449999995</v>
      </c>
      <c r="I129" s="12"/>
      <c r="J129" s="12"/>
      <c r="K129" s="12"/>
    </row>
    <row r="130" spans="1:11" x14ac:dyDescent="0.3">
      <c r="A130" s="1">
        <v>45759</v>
      </c>
      <c r="B130" s="1">
        <f>EOMONTH(Tbl_Scenario[[#This Row],[Date]],0)</f>
        <v>45777</v>
      </c>
      <c r="C130" s="12">
        <v>332629.02</v>
      </c>
      <c r="D130" s="12">
        <v>338196.88800000004</v>
      </c>
      <c r="E130" s="12">
        <v>326211.04799999995</v>
      </c>
      <c r="I130" s="12"/>
      <c r="J130" s="12"/>
      <c r="K130" s="12"/>
    </row>
    <row r="131" spans="1:11" x14ac:dyDescent="0.3">
      <c r="A131" s="1">
        <v>45768</v>
      </c>
      <c r="B131" s="1">
        <f>EOMONTH(Tbl_Scenario[[#This Row],[Date]],0)</f>
        <v>45777</v>
      </c>
      <c r="C131" s="12">
        <v>390264.88500000007</v>
      </c>
      <c r="D131" s="12">
        <v>394687.40400000004</v>
      </c>
      <c r="E131" s="12">
        <v>384900.174</v>
      </c>
      <c r="I131" s="12"/>
      <c r="J131" s="12"/>
      <c r="K131" s="12"/>
    </row>
    <row r="132" spans="1:11" x14ac:dyDescent="0.3">
      <c r="A132" s="1">
        <v>45773</v>
      </c>
      <c r="B132" s="1">
        <f>EOMONTH(Tbl_Scenario[[#This Row],[Date]],0)</f>
        <v>45777</v>
      </c>
      <c r="C132" s="12">
        <v>391852.28250000003</v>
      </c>
      <c r="D132" s="12">
        <v>394948.06199999998</v>
      </c>
      <c r="E132" s="12">
        <v>388214.28900000005</v>
      </c>
      <c r="I132" s="12"/>
      <c r="J132" s="12"/>
      <c r="K132" s="12"/>
    </row>
    <row r="133" spans="1:11" x14ac:dyDescent="0.3">
      <c r="A133" s="1">
        <v>45774</v>
      </c>
      <c r="B133" s="1">
        <f>EOMONTH(Tbl_Scenario[[#This Row],[Date]],0)</f>
        <v>45777</v>
      </c>
      <c r="C133" s="12">
        <v>390264.88500000007</v>
      </c>
      <c r="D133" s="12">
        <v>394687.40400000004</v>
      </c>
      <c r="E133" s="12">
        <v>384900.174</v>
      </c>
      <c r="I133" s="12"/>
      <c r="J133" s="12"/>
      <c r="K133" s="12"/>
    </row>
    <row r="134" spans="1:11" x14ac:dyDescent="0.3">
      <c r="A134" s="1">
        <v>45776</v>
      </c>
      <c r="B134" s="1">
        <f>EOMONTH(Tbl_Scenario[[#This Row],[Date]],0)</f>
        <v>45777</v>
      </c>
      <c r="C134" s="12">
        <v>538403.625</v>
      </c>
      <c r="D134" s="12">
        <v>543072.30000000005</v>
      </c>
      <c r="E134" s="12">
        <v>533734.94999999995</v>
      </c>
      <c r="I134" s="12"/>
      <c r="J134" s="12"/>
      <c r="K134" s="12"/>
    </row>
    <row r="135" spans="1:11" x14ac:dyDescent="0.3">
      <c r="A135" s="1">
        <v>45778</v>
      </c>
      <c r="B135" s="1">
        <f>EOMONTH(Tbl_Scenario[[#This Row],[Date]],0)</f>
        <v>45808</v>
      </c>
      <c r="C135" s="12">
        <v>182943.15</v>
      </c>
      <c r="D135" s="12">
        <v>184827.24</v>
      </c>
      <c r="E135" s="12">
        <v>181059.06</v>
      </c>
      <c r="I135" s="12"/>
      <c r="J135" s="12"/>
      <c r="K135" s="12"/>
    </row>
    <row r="136" spans="1:11" x14ac:dyDescent="0.3">
      <c r="A136" s="1">
        <v>45791</v>
      </c>
      <c r="B136" s="1">
        <f>EOMONTH(Tbl_Scenario[[#This Row],[Date]],0)</f>
        <v>45808</v>
      </c>
      <c r="C136" s="12">
        <v>332629.02</v>
      </c>
      <c r="D136" s="12">
        <v>338196.88800000004</v>
      </c>
      <c r="E136" s="12">
        <v>326211.04799999995</v>
      </c>
      <c r="I136" s="12"/>
      <c r="J136" s="12"/>
      <c r="K136" s="12"/>
    </row>
    <row r="137" spans="1:11" x14ac:dyDescent="0.3">
      <c r="A137" s="1">
        <v>45794</v>
      </c>
      <c r="B137" s="1">
        <f>EOMONTH(Tbl_Scenario[[#This Row],[Date]],0)</f>
        <v>45808</v>
      </c>
      <c r="C137" s="12">
        <v>231354.46875</v>
      </c>
      <c r="D137" s="12">
        <v>231536.02499999999</v>
      </c>
      <c r="E137" s="12">
        <v>230417.13750000001</v>
      </c>
      <c r="I137" s="12"/>
      <c r="J137" s="12"/>
      <c r="K137" s="12"/>
    </row>
    <row r="138" spans="1:11" x14ac:dyDescent="0.3">
      <c r="A138" s="1">
        <v>45796</v>
      </c>
      <c r="B138" s="1">
        <f>EOMONTH(Tbl_Scenario[[#This Row],[Date]],0)</f>
        <v>45808</v>
      </c>
      <c r="C138" s="12">
        <v>391852.28250000003</v>
      </c>
      <c r="D138" s="12">
        <v>394948.06199999998</v>
      </c>
      <c r="E138" s="12">
        <v>388214.28900000005</v>
      </c>
      <c r="I138" s="12"/>
      <c r="J138" s="12"/>
      <c r="K138" s="12"/>
    </row>
    <row r="139" spans="1:11" x14ac:dyDescent="0.3">
      <c r="A139" s="1">
        <v>45799</v>
      </c>
      <c r="B139" s="1">
        <f>EOMONTH(Tbl_Scenario[[#This Row],[Date]],0)</f>
        <v>45808</v>
      </c>
      <c r="C139" s="12">
        <v>351265.20749999996</v>
      </c>
      <c r="D139" s="12">
        <v>355515.64199999999</v>
      </c>
      <c r="E139" s="12">
        <v>347014.77299999999</v>
      </c>
      <c r="I139" s="12"/>
      <c r="J139" s="12"/>
      <c r="K139" s="12"/>
    </row>
    <row r="140" spans="1:11" x14ac:dyDescent="0.3">
      <c r="A140" s="1">
        <v>45801</v>
      </c>
      <c r="B140" s="1">
        <f>EOMONTH(Tbl_Scenario[[#This Row],[Date]],0)</f>
        <v>45808</v>
      </c>
      <c r="C140" s="12">
        <v>286956.15000000002</v>
      </c>
      <c r="D140" s="12">
        <v>291812.04000000004</v>
      </c>
      <c r="E140" s="12">
        <v>282100.26</v>
      </c>
      <c r="I140" s="12"/>
      <c r="J140" s="12"/>
      <c r="K140" s="12"/>
    </row>
    <row r="141" spans="1:11" x14ac:dyDescent="0.3">
      <c r="A141" s="1">
        <v>45803</v>
      </c>
      <c r="B141" s="1">
        <f>EOMONTH(Tbl_Scenario[[#This Row],[Date]],0)</f>
        <v>45808</v>
      </c>
      <c r="C141" s="12">
        <v>318411.00000000006</v>
      </c>
      <c r="D141" s="12">
        <v>322365.59999999998</v>
      </c>
      <c r="E141" s="12">
        <v>314456.40000000002</v>
      </c>
      <c r="I141" s="12"/>
      <c r="J141" s="12"/>
      <c r="K141" s="12"/>
    </row>
    <row r="142" spans="1:11" x14ac:dyDescent="0.3">
      <c r="A142" s="1">
        <v>45810</v>
      </c>
      <c r="B142" s="1">
        <f>EOMONTH(Tbl_Scenario[[#This Row],[Date]],0)</f>
        <v>45838</v>
      </c>
      <c r="C142" s="12">
        <v>257509.02374999999</v>
      </c>
      <c r="D142" s="12">
        <v>260237.853</v>
      </c>
      <c r="E142" s="12">
        <v>254780.19449999995</v>
      </c>
      <c r="I142" s="12"/>
      <c r="J142" s="12"/>
      <c r="K142" s="12"/>
    </row>
    <row r="143" spans="1:11" x14ac:dyDescent="0.3">
      <c r="A143" s="1">
        <v>45812</v>
      </c>
      <c r="B143" s="1">
        <f>EOMONTH(Tbl_Scenario[[#This Row],[Date]],0)</f>
        <v>45838</v>
      </c>
      <c r="C143" s="12">
        <v>391852.28250000003</v>
      </c>
      <c r="D143" s="12">
        <v>394948.06199999998</v>
      </c>
      <c r="E143" s="12">
        <v>388214.28900000005</v>
      </c>
      <c r="I143" s="12"/>
      <c r="J143" s="12"/>
      <c r="K143" s="12"/>
    </row>
    <row r="144" spans="1:11" x14ac:dyDescent="0.3">
      <c r="A144" s="1">
        <v>45814</v>
      </c>
      <c r="B144" s="1">
        <f>EOMONTH(Tbl_Scenario[[#This Row],[Date]],0)</f>
        <v>45838</v>
      </c>
      <c r="C144" s="12">
        <v>389052.39750000008</v>
      </c>
      <c r="D144" s="12">
        <v>392495.14199999999</v>
      </c>
      <c r="E144" s="12">
        <v>384622.32899999997</v>
      </c>
      <c r="I144" s="12"/>
      <c r="J144" s="12"/>
      <c r="K144" s="12"/>
    </row>
    <row r="145" spans="1:11" x14ac:dyDescent="0.3">
      <c r="A145" s="1">
        <v>45829</v>
      </c>
      <c r="B145" s="1">
        <f>EOMONTH(Tbl_Scenario[[#This Row],[Date]],0)</f>
        <v>45838</v>
      </c>
      <c r="C145" s="12">
        <v>231354.46875</v>
      </c>
      <c r="D145" s="12">
        <v>231536.02499999999</v>
      </c>
      <c r="E145" s="12">
        <v>230417.13750000001</v>
      </c>
      <c r="I145" s="12"/>
      <c r="J145" s="12"/>
      <c r="K145" s="12"/>
    </row>
    <row r="146" spans="1:11" x14ac:dyDescent="0.3">
      <c r="A146" s="1">
        <v>45832</v>
      </c>
      <c r="B146" s="1">
        <f>EOMONTH(Tbl_Scenario[[#This Row],[Date]],0)</f>
        <v>45838</v>
      </c>
      <c r="C146" s="12">
        <v>307914.61499999999</v>
      </c>
      <c r="D146" s="12">
        <v>310932.91800000001</v>
      </c>
      <c r="E146" s="12">
        <v>303745.62599999999</v>
      </c>
      <c r="I146" s="12"/>
      <c r="J146" s="12"/>
      <c r="K146" s="12"/>
    </row>
    <row r="147" spans="1:11" x14ac:dyDescent="0.3">
      <c r="A147" s="1">
        <v>45834</v>
      </c>
      <c r="B147" s="1">
        <f>EOMONTH(Tbl_Scenario[[#This Row],[Date]],0)</f>
        <v>45838</v>
      </c>
      <c r="C147" s="12">
        <v>241204.40625</v>
      </c>
      <c r="D147" s="12">
        <v>244881.67499999996</v>
      </c>
      <c r="E147" s="12">
        <v>237527.13749999998</v>
      </c>
      <c r="I147" s="12"/>
      <c r="J147" s="12"/>
      <c r="K147" s="12"/>
    </row>
    <row r="148" spans="1:11" x14ac:dyDescent="0.3">
      <c r="A148" s="1">
        <v>45838</v>
      </c>
      <c r="B148" s="1">
        <f>EOMONTH(Tbl_Scenario[[#This Row],[Date]],0)</f>
        <v>45838</v>
      </c>
      <c r="C148" s="12">
        <v>260967.6</v>
      </c>
      <c r="D148" s="12">
        <v>263280.96000000002</v>
      </c>
      <c r="E148" s="12">
        <v>258654.24000000002</v>
      </c>
      <c r="I148" s="12"/>
      <c r="J148" s="12"/>
      <c r="K148" s="12"/>
    </row>
    <row r="149" spans="1:11" x14ac:dyDescent="0.3">
      <c r="A149" s="1">
        <v>45841</v>
      </c>
      <c r="B149" s="1">
        <f>EOMONTH(Tbl_Scenario[[#This Row],[Date]],0)</f>
        <v>45869</v>
      </c>
      <c r="C149" s="12">
        <v>307914.61499999999</v>
      </c>
      <c r="D149" s="12">
        <v>310932.91800000001</v>
      </c>
      <c r="E149" s="12">
        <v>303745.62599999999</v>
      </c>
      <c r="I149" s="12"/>
      <c r="J149" s="12"/>
      <c r="K149" s="12"/>
    </row>
    <row r="150" spans="1:11" x14ac:dyDescent="0.3">
      <c r="A150" s="1">
        <v>45842</v>
      </c>
      <c r="B150" s="1">
        <f>EOMONTH(Tbl_Scenario[[#This Row],[Date]],0)</f>
        <v>45869</v>
      </c>
      <c r="C150" s="12">
        <v>307914.61499999999</v>
      </c>
      <c r="D150" s="12">
        <v>310932.91800000001</v>
      </c>
      <c r="E150" s="12">
        <v>303745.62599999999</v>
      </c>
      <c r="I150" s="12"/>
      <c r="J150" s="12"/>
      <c r="K150" s="12"/>
    </row>
    <row r="151" spans="1:11" x14ac:dyDescent="0.3">
      <c r="A151" s="1">
        <v>45844</v>
      </c>
      <c r="B151" s="1">
        <f>EOMONTH(Tbl_Scenario[[#This Row],[Date]],0)</f>
        <v>45869</v>
      </c>
      <c r="C151" s="12">
        <v>202676.94000000003</v>
      </c>
      <c r="D151" s="12">
        <v>204353.424</v>
      </c>
      <c r="E151" s="12">
        <v>201000.45600000001</v>
      </c>
      <c r="I151" s="12"/>
      <c r="J151" s="12"/>
      <c r="K151" s="12"/>
    </row>
    <row r="152" spans="1:11" x14ac:dyDescent="0.3">
      <c r="A152" s="1">
        <v>45849</v>
      </c>
      <c r="B152" s="1">
        <f>EOMONTH(Tbl_Scenario[[#This Row],[Date]],0)</f>
        <v>45869</v>
      </c>
      <c r="C152" s="12">
        <v>366207.375</v>
      </c>
      <c r="D152" s="12">
        <v>371313.30000000005</v>
      </c>
      <c r="E152" s="12">
        <v>361101.45</v>
      </c>
      <c r="I152" s="12"/>
      <c r="J152" s="12"/>
      <c r="K152" s="12"/>
    </row>
    <row r="153" spans="1:11" x14ac:dyDescent="0.3">
      <c r="A153" s="1">
        <v>45855</v>
      </c>
      <c r="B153" s="1">
        <f>EOMONTH(Tbl_Scenario[[#This Row],[Date]],0)</f>
        <v>45869</v>
      </c>
      <c r="C153" s="12">
        <v>366207.375</v>
      </c>
      <c r="D153" s="12">
        <v>371313.30000000005</v>
      </c>
      <c r="E153" s="12">
        <v>361101.45</v>
      </c>
      <c r="I153" s="12"/>
      <c r="J153" s="12"/>
      <c r="K153" s="12"/>
    </row>
    <row r="154" spans="1:11" x14ac:dyDescent="0.3">
      <c r="A154" s="1">
        <v>45857</v>
      </c>
      <c r="B154" s="1">
        <f>EOMONTH(Tbl_Scenario[[#This Row],[Date]],0)</f>
        <v>45869</v>
      </c>
      <c r="C154" s="12">
        <v>182943.15</v>
      </c>
      <c r="D154" s="12">
        <v>184827.24</v>
      </c>
      <c r="E154" s="12">
        <v>181059.06</v>
      </c>
      <c r="I154" s="12"/>
      <c r="J154" s="12"/>
      <c r="K154" s="12"/>
    </row>
    <row r="155" spans="1:11" x14ac:dyDescent="0.3">
      <c r="A155" s="1">
        <v>45859</v>
      </c>
      <c r="B155" s="1">
        <f>EOMONTH(Tbl_Scenario[[#This Row],[Date]],0)</f>
        <v>45869</v>
      </c>
      <c r="C155" s="12">
        <v>318411.00000000006</v>
      </c>
      <c r="D155" s="12">
        <v>322365.59999999998</v>
      </c>
      <c r="E155" s="12">
        <v>314456.40000000002</v>
      </c>
      <c r="I155" s="12"/>
      <c r="J155" s="12"/>
      <c r="K155" s="12"/>
    </row>
    <row r="156" spans="1:11" x14ac:dyDescent="0.3">
      <c r="A156" s="1">
        <v>45860</v>
      </c>
      <c r="B156" s="1">
        <f>EOMONTH(Tbl_Scenario[[#This Row],[Date]],0)</f>
        <v>45869</v>
      </c>
      <c r="C156" s="12">
        <v>318411.00000000006</v>
      </c>
      <c r="D156" s="12">
        <v>322365.59999999998</v>
      </c>
      <c r="E156" s="12">
        <v>314456.40000000002</v>
      </c>
      <c r="I156" s="12"/>
      <c r="J156" s="12"/>
      <c r="K156" s="12"/>
    </row>
    <row r="157" spans="1:11" x14ac:dyDescent="0.3">
      <c r="A157" s="1">
        <v>45862</v>
      </c>
      <c r="B157" s="1">
        <f>EOMONTH(Tbl_Scenario[[#This Row],[Date]],0)</f>
        <v>45869</v>
      </c>
      <c r="C157" s="12">
        <v>307914.61499999999</v>
      </c>
      <c r="D157" s="12">
        <v>310932.91800000001</v>
      </c>
      <c r="E157" s="12">
        <v>303745.62599999999</v>
      </c>
      <c r="I157" s="12"/>
      <c r="J157" s="12"/>
      <c r="K157" s="12"/>
    </row>
    <row r="158" spans="1:11" x14ac:dyDescent="0.3">
      <c r="A158" s="1">
        <v>45864</v>
      </c>
      <c r="B158" s="1">
        <f>EOMONTH(Tbl_Scenario[[#This Row],[Date]],0)</f>
        <v>45869</v>
      </c>
      <c r="C158" s="12">
        <v>389052.39750000008</v>
      </c>
      <c r="D158" s="12">
        <v>392495.14199999999</v>
      </c>
      <c r="E158" s="12">
        <v>384622.32899999997</v>
      </c>
      <c r="I158" s="12"/>
      <c r="J158" s="12"/>
      <c r="K158" s="12"/>
    </row>
    <row r="159" spans="1:11" x14ac:dyDescent="0.3">
      <c r="A159" s="1">
        <v>45865</v>
      </c>
      <c r="B159" s="1">
        <f>EOMONTH(Tbl_Scenario[[#This Row],[Date]],0)</f>
        <v>45869</v>
      </c>
      <c r="C159" s="12">
        <v>202676.94000000003</v>
      </c>
      <c r="D159" s="12">
        <v>204353.424</v>
      </c>
      <c r="E159" s="12">
        <v>201000.45600000001</v>
      </c>
      <c r="I159" s="12"/>
      <c r="J159" s="12"/>
      <c r="K159" s="12"/>
    </row>
    <row r="160" spans="1:11" x14ac:dyDescent="0.3">
      <c r="A160" s="1">
        <v>45866</v>
      </c>
      <c r="B160" s="1">
        <f>EOMONTH(Tbl_Scenario[[#This Row],[Date]],0)</f>
        <v>45869</v>
      </c>
      <c r="C160" s="12">
        <v>148045.78125</v>
      </c>
      <c r="D160" s="12">
        <v>149061.375</v>
      </c>
      <c r="E160" s="12">
        <v>147030.1875</v>
      </c>
      <c r="I160" s="12"/>
      <c r="J160" s="12"/>
      <c r="K160" s="12"/>
    </row>
    <row r="161" spans="1:11" x14ac:dyDescent="0.3">
      <c r="A161" s="1">
        <v>45869</v>
      </c>
      <c r="B161" s="1">
        <f>EOMONTH(Tbl_Scenario[[#This Row],[Date]],0)</f>
        <v>45869</v>
      </c>
      <c r="C161" s="12">
        <v>202676.94000000003</v>
      </c>
      <c r="D161" s="12">
        <v>204353.424</v>
      </c>
      <c r="E161" s="12">
        <v>201000.45600000001</v>
      </c>
      <c r="I161" s="12"/>
      <c r="J161" s="12"/>
      <c r="K161" s="12"/>
    </row>
    <row r="162" spans="1:11" x14ac:dyDescent="0.3">
      <c r="A162" s="1">
        <v>45870</v>
      </c>
      <c r="B162" s="1">
        <f>EOMONTH(Tbl_Scenario[[#This Row],[Date]],0)</f>
        <v>45900</v>
      </c>
      <c r="C162" s="12">
        <v>241204.40625</v>
      </c>
      <c r="D162" s="12">
        <v>244881.67499999996</v>
      </c>
      <c r="E162" s="12">
        <v>237527.13749999998</v>
      </c>
      <c r="I162" s="12"/>
      <c r="J162" s="12"/>
      <c r="K162" s="12"/>
    </row>
    <row r="163" spans="1:11" x14ac:dyDescent="0.3">
      <c r="A163" s="1">
        <v>45871</v>
      </c>
      <c r="B163" s="1">
        <f>EOMONTH(Tbl_Scenario[[#This Row],[Date]],0)</f>
        <v>45900</v>
      </c>
      <c r="C163" s="12">
        <v>351265.20749999996</v>
      </c>
      <c r="D163" s="12">
        <v>355515.64199999999</v>
      </c>
      <c r="E163" s="12">
        <v>347014.77299999999</v>
      </c>
      <c r="I163" s="12"/>
      <c r="J163" s="12"/>
      <c r="K163" s="12"/>
    </row>
    <row r="164" spans="1:11" x14ac:dyDescent="0.3">
      <c r="A164" s="1">
        <v>45873</v>
      </c>
      <c r="B164" s="1">
        <f>EOMONTH(Tbl_Scenario[[#This Row],[Date]],0)</f>
        <v>45900</v>
      </c>
      <c r="C164" s="12">
        <v>286956.15000000002</v>
      </c>
      <c r="D164" s="12">
        <v>291812.04000000004</v>
      </c>
      <c r="E164" s="12">
        <v>282100.26</v>
      </c>
      <c r="I164" s="12"/>
      <c r="J164" s="12"/>
      <c r="K164" s="12"/>
    </row>
    <row r="165" spans="1:11" x14ac:dyDescent="0.3">
      <c r="A165" s="1">
        <v>45884</v>
      </c>
      <c r="B165" s="1">
        <f>EOMONTH(Tbl_Scenario[[#This Row],[Date]],0)</f>
        <v>45900</v>
      </c>
      <c r="C165" s="12">
        <v>182943.15</v>
      </c>
      <c r="D165" s="12">
        <v>184827.24</v>
      </c>
      <c r="E165" s="12">
        <v>181059.06</v>
      </c>
      <c r="I165" s="12"/>
      <c r="J165" s="12"/>
      <c r="K165" s="12"/>
    </row>
    <row r="166" spans="1:11" x14ac:dyDescent="0.3">
      <c r="A166" s="1">
        <v>45886</v>
      </c>
      <c r="B166" s="1">
        <f>EOMONTH(Tbl_Scenario[[#This Row],[Date]],0)</f>
        <v>45900</v>
      </c>
      <c r="C166" s="12">
        <v>202676.94000000003</v>
      </c>
      <c r="D166" s="12">
        <v>204353.424</v>
      </c>
      <c r="E166" s="12">
        <v>201000.45600000001</v>
      </c>
      <c r="I166" s="12"/>
      <c r="J166" s="12"/>
      <c r="K166" s="12"/>
    </row>
    <row r="167" spans="1:11" x14ac:dyDescent="0.3">
      <c r="A167" s="1">
        <v>45891</v>
      </c>
      <c r="B167" s="1">
        <f>EOMONTH(Tbl_Scenario[[#This Row],[Date]],0)</f>
        <v>45900</v>
      </c>
      <c r="C167" s="12">
        <v>260967.6</v>
      </c>
      <c r="D167" s="12">
        <v>263280.96000000002</v>
      </c>
      <c r="E167" s="12">
        <v>258654.24000000002</v>
      </c>
      <c r="I167" s="12"/>
      <c r="J167" s="12"/>
      <c r="K167" s="12"/>
    </row>
    <row r="168" spans="1:11" x14ac:dyDescent="0.3">
      <c r="A168" s="1">
        <v>45897</v>
      </c>
      <c r="B168" s="1">
        <f>EOMONTH(Tbl_Scenario[[#This Row],[Date]],0)</f>
        <v>45900</v>
      </c>
      <c r="C168" s="12">
        <v>390264.88500000007</v>
      </c>
      <c r="D168" s="12">
        <v>394687.40400000004</v>
      </c>
      <c r="E168" s="12">
        <v>384900.174</v>
      </c>
      <c r="I168" s="12"/>
      <c r="J168" s="12"/>
      <c r="K168" s="12"/>
    </row>
    <row r="169" spans="1:11" x14ac:dyDescent="0.3">
      <c r="A169" s="1">
        <v>45899</v>
      </c>
      <c r="B169" s="1">
        <f>EOMONTH(Tbl_Scenario[[#This Row],[Date]],0)</f>
        <v>45900</v>
      </c>
      <c r="C169" s="12">
        <v>406517.83875</v>
      </c>
      <c r="D169" s="12">
        <v>410191.45200000005</v>
      </c>
      <c r="E169" s="12">
        <v>401845.90049999999</v>
      </c>
      <c r="I169" s="12"/>
      <c r="J169" s="12"/>
      <c r="K169" s="12"/>
    </row>
    <row r="170" spans="1:11" x14ac:dyDescent="0.3">
      <c r="A170" s="1">
        <v>45902</v>
      </c>
      <c r="B170" s="1">
        <f>EOMONTH(Tbl_Scenario[[#This Row],[Date]],0)</f>
        <v>45930</v>
      </c>
      <c r="C170" s="12">
        <v>260967.6</v>
      </c>
      <c r="D170" s="12">
        <v>263280.96000000002</v>
      </c>
      <c r="E170" s="12">
        <v>258654.24000000002</v>
      </c>
      <c r="I170" s="12"/>
      <c r="J170" s="12"/>
      <c r="K170" s="12"/>
    </row>
    <row r="171" spans="1:11" x14ac:dyDescent="0.3">
      <c r="A171" s="1">
        <v>45906</v>
      </c>
      <c r="B171" s="1">
        <f>EOMONTH(Tbl_Scenario[[#This Row],[Date]],0)</f>
        <v>45930</v>
      </c>
      <c r="C171" s="12">
        <v>260154.96</v>
      </c>
      <c r="D171" s="12">
        <v>263130.81599999999</v>
      </c>
      <c r="E171" s="12">
        <v>257179.10400000002</v>
      </c>
      <c r="I171" s="12"/>
      <c r="J171" s="12"/>
      <c r="K171" s="12"/>
    </row>
    <row r="172" spans="1:11" x14ac:dyDescent="0.3">
      <c r="A172" s="1">
        <v>45908</v>
      </c>
      <c r="B172" s="1">
        <f>EOMONTH(Tbl_Scenario[[#This Row],[Date]],0)</f>
        <v>45930</v>
      </c>
      <c r="C172" s="12">
        <v>420315.93000000005</v>
      </c>
      <c r="D172" s="12">
        <v>426153.52800000005</v>
      </c>
      <c r="E172" s="12">
        <v>414478.33199999999</v>
      </c>
      <c r="I172" s="12"/>
      <c r="J172" s="12"/>
      <c r="K172" s="12"/>
    </row>
    <row r="173" spans="1:11" x14ac:dyDescent="0.3">
      <c r="A173" s="1">
        <v>45910</v>
      </c>
      <c r="B173" s="1">
        <f>EOMONTH(Tbl_Scenario[[#This Row],[Date]],0)</f>
        <v>45930</v>
      </c>
      <c r="C173" s="12">
        <v>389052.39750000008</v>
      </c>
      <c r="D173" s="12">
        <v>392495.14199999999</v>
      </c>
      <c r="E173" s="12">
        <v>384622.32899999997</v>
      </c>
      <c r="I173" s="12"/>
      <c r="J173" s="12"/>
      <c r="K173" s="12"/>
    </row>
    <row r="174" spans="1:11" x14ac:dyDescent="0.3">
      <c r="A174" s="1">
        <v>45911</v>
      </c>
      <c r="B174" s="1">
        <f>EOMONTH(Tbl_Scenario[[#This Row],[Date]],0)</f>
        <v>45930</v>
      </c>
      <c r="C174" s="12">
        <v>241204.40625</v>
      </c>
      <c r="D174" s="12">
        <v>244881.67499999996</v>
      </c>
      <c r="E174" s="12">
        <v>237527.13749999998</v>
      </c>
      <c r="I174" s="12"/>
      <c r="J174" s="12"/>
      <c r="K174" s="12"/>
    </row>
    <row r="175" spans="1:11" x14ac:dyDescent="0.3">
      <c r="A175" s="1">
        <v>45914</v>
      </c>
      <c r="B175" s="1">
        <f>EOMONTH(Tbl_Scenario[[#This Row],[Date]],0)</f>
        <v>45930</v>
      </c>
      <c r="C175" s="12">
        <v>351265.20749999996</v>
      </c>
      <c r="D175" s="12">
        <v>355515.64199999999</v>
      </c>
      <c r="E175" s="12">
        <v>347014.77299999999</v>
      </c>
      <c r="I175" s="12"/>
      <c r="J175" s="12"/>
      <c r="K175" s="12"/>
    </row>
    <row r="176" spans="1:11" x14ac:dyDescent="0.3">
      <c r="A176" s="1">
        <v>45917</v>
      </c>
      <c r="B176" s="1">
        <f>EOMONTH(Tbl_Scenario[[#This Row],[Date]],0)</f>
        <v>45930</v>
      </c>
      <c r="C176" s="12">
        <v>318411.00000000006</v>
      </c>
      <c r="D176" s="12">
        <v>322365.59999999998</v>
      </c>
      <c r="E176" s="12">
        <v>314456.40000000002</v>
      </c>
      <c r="I176" s="12"/>
      <c r="J176" s="12"/>
      <c r="K176" s="12"/>
    </row>
    <row r="177" spans="1:11" x14ac:dyDescent="0.3">
      <c r="A177" s="1">
        <v>45918</v>
      </c>
      <c r="B177" s="1">
        <f>EOMONTH(Tbl_Scenario[[#This Row],[Date]],0)</f>
        <v>45930</v>
      </c>
      <c r="C177" s="12">
        <v>261990.30000000002</v>
      </c>
      <c r="D177" s="12">
        <v>266132.88</v>
      </c>
      <c r="E177" s="12">
        <v>257847.72</v>
      </c>
      <c r="I177" s="12"/>
      <c r="J177" s="12"/>
      <c r="K177" s="12"/>
    </row>
    <row r="178" spans="1:11" x14ac:dyDescent="0.3">
      <c r="A178" s="1">
        <v>45927</v>
      </c>
      <c r="B178" s="1">
        <f>EOMONTH(Tbl_Scenario[[#This Row],[Date]],0)</f>
        <v>45930</v>
      </c>
      <c r="C178" s="12">
        <v>231354.46875</v>
      </c>
      <c r="D178" s="12">
        <v>231536.02499999999</v>
      </c>
      <c r="E178" s="12">
        <v>230417.13750000001</v>
      </c>
      <c r="I178" s="12"/>
      <c r="J178" s="12"/>
      <c r="K178" s="12"/>
    </row>
    <row r="179" spans="1:11" x14ac:dyDescent="0.3">
      <c r="A179" s="1">
        <v>45928</v>
      </c>
      <c r="B179" s="1">
        <f>EOMONTH(Tbl_Scenario[[#This Row],[Date]],0)</f>
        <v>45930</v>
      </c>
      <c r="C179" s="12">
        <v>149171.88</v>
      </c>
      <c r="D179" s="12">
        <v>152319.64800000002</v>
      </c>
      <c r="E179" s="12">
        <v>146024.11199999999</v>
      </c>
      <c r="I179" s="12"/>
      <c r="J179" s="12"/>
      <c r="K179" s="12"/>
    </row>
    <row r="180" spans="1:11" x14ac:dyDescent="0.3">
      <c r="A180" s="1">
        <v>45929</v>
      </c>
      <c r="B180" s="1">
        <f>EOMONTH(Tbl_Scenario[[#This Row],[Date]],0)</f>
        <v>45930</v>
      </c>
      <c r="C180" s="12">
        <v>420315.93000000005</v>
      </c>
      <c r="D180" s="12">
        <v>426153.52800000005</v>
      </c>
      <c r="E180" s="12">
        <v>414478.33199999999</v>
      </c>
      <c r="I180" s="12"/>
      <c r="J180" s="12"/>
      <c r="K180" s="12"/>
    </row>
    <row r="181" spans="1:11" x14ac:dyDescent="0.3">
      <c r="A181" s="1">
        <v>45931</v>
      </c>
      <c r="B181" s="1">
        <f>EOMONTH(Tbl_Scenario[[#This Row],[Date]],0)</f>
        <v>45961</v>
      </c>
      <c r="C181" s="12">
        <v>286956.15000000002</v>
      </c>
      <c r="D181" s="12">
        <v>291812.04000000004</v>
      </c>
      <c r="E181" s="12">
        <v>282100.26</v>
      </c>
      <c r="I181" s="12"/>
      <c r="J181" s="12"/>
      <c r="K181" s="12"/>
    </row>
    <row r="182" spans="1:11" x14ac:dyDescent="0.3">
      <c r="A182" s="1">
        <v>45932</v>
      </c>
      <c r="B182" s="1">
        <f>EOMONTH(Tbl_Scenario[[#This Row],[Date]],0)</f>
        <v>45961</v>
      </c>
      <c r="C182" s="12">
        <v>149171.88</v>
      </c>
      <c r="D182" s="12">
        <v>152319.64800000002</v>
      </c>
      <c r="E182" s="12">
        <v>146024.11199999999</v>
      </c>
      <c r="I182" s="12"/>
      <c r="J182" s="12"/>
      <c r="K182" s="12"/>
    </row>
    <row r="183" spans="1:11" x14ac:dyDescent="0.3">
      <c r="A183" s="1">
        <v>45933</v>
      </c>
      <c r="B183" s="1">
        <f>EOMONTH(Tbl_Scenario[[#This Row],[Date]],0)</f>
        <v>45961</v>
      </c>
      <c r="C183" s="12">
        <v>538403.625</v>
      </c>
      <c r="D183" s="12">
        <v>543072.30000000005</v>
      </c>
      <c r="E183" s="12">
        <v>533734.94999999995</v>
      </c>
      <c r="I183" s="12"/>
      <c r="J183" s="12"/>
      <c r="K183" s="12"/>
    </row>
    <row r="184" spans="1:11" x14ac:dyDescent="0.3">
      <c r="A184" s="1">
        <v>45935</v>
      </c>
      <c r="B184" s="1">
        <f>EOMONTH(Tbl_Scenario[[#This Row],[Date]],0)</f>
        <v>45961</v>
      </c>
      <c r="C184" s="12">
        <v>366207.375</v>
      </c>
      <c r="D184" s="12">
        <v>371313.30000000005</v>
      </c>
      <c r="E184" s="12">
        <v>361101.45</v>
      </c>
      <c r="I184" s="12"/>
      <c r="J184" s="12"/>
      <c r="K184" s="12"/>
    </row>
    <row r="185" spans="1:11" x14ac:dyDescent="0.3">
      <c r="A185" s="1">
        <v>45941</v>
      </c>
      <c r="B185" s="1">
        <f>EOMONTH(Tbl_Scenario[[#This Row],[Date]],0)</f>
        <v>45961</v>
      </c>
      <c r="C185" s="12">
        <v>366207.375</v>
      </c>
      <c r="D185" s="12">
        <v>371313.30000000005</v>
      </c>
      <c r="E185" s="12">
        <v>361101.45</v>
      </c>
      <c r="I185" s="12"/>
      <c r="J185" s="12"/>
      <c r="K185" s="12"/>
    </row>
    <row r="186" spans="1:11" x14ac:dyDescent="0.3">
      <c r="A186" s="1">
        <v>45942</v>
      </c>
      <c r="B186" s="1">
        <f>EOMONTH(Tbl_Scenario[[#This Row],[Date]],0)</f>
        <v>45961</v>
      </c>
      <c r="C186" s="12">
        <v>390264.88500000007</v>
      </c>
      <c r="D186" s="12">
        <v>394687.40400000004</v>
      </c>
      <c r="E186" s="12">
        <v>384900.174</v>
      </c>
      <c r="I186" s="12"/>
      <c r="J186" s="12"/>
      <c r="K186" s="12"/>
    </row>
    <row r="187" spans="1:11" x14ac:dyDescent="0.3">
      <c r="A187" s="1">
        <v>45945</v>
      </c>
      <c r="B187" s="1">
        <f>EOMONTH(Tbl_Scenario[[#This Row],[Date]],0)</f>
        <v>45961</v>
      </c>
      <c r="C187" s="12">
        <v>389052.39750000008</v>
      </c>
      <c r="D187" s="12">
        <v>392495.14199999999</v>
      </c>
      <c r="E187" s="12">
        <v>384622.32899999997</v>
      </c>
      <c r="I187" s="12"/>
      <c r="J187" s="12"/>
      <c r="K187" s="12"/>
    </row>
    <row r="188" spans="1:11" x14ac:dyDescent="0.3">
      <c r="A188" s="1">
        <v>45950</v>
      </c>
      <c r="B188" s="1">
        <f>EOMONTH(Tbl_Scenario[[#This Row],[Date]],0)</f>
        <v>45961</v>
      </c>
      <c r="C188" s="12">
        <v>420315.93000000005</v>
      </c>
      <c r="D188" s="12">
        <v>426153.52800000005</v>
      </c>
      <c r="E188" s="12">
        <v>414478.33199999999</v>
      </c>
      <c r="I188" s="12"/>
      <c r="J188" s="12"/>
      <c r="K188" s="12"/>
    </row>
    <row r="189" spans="1:11" x14ac:dyDescent="0.3">
      <c r="A189" s="1">
        <v>45951</v>
      </c>
      <c r="B189" s="1">
        <f>EOMONTH(Tbl_Scenario[[#This Row],[Date]],0)</f>
        <v>45961</v>
      </c>
      <c r="C189" s="12">
        <v>390264.88500000007</v>
      </c>
      <c r="D189" s="12">
        <v>394687.40400000004</v>
      </c>
      <c r="E189" s="12">
        <v>384900.174</v>
      </c>
      <c r="I189" s="12"/>
      <c r="J189" s="12"/>
      <c r="K189" s="12"/>
    </row>
    <row r="190" spans="1:11" x14ac:dyDescent="0.3">
      <c r="A190" s="1">
        <v>45954</v>
      </c>
      <c r="B190" s="1">
        <f>EOMONTH(Tbl_Scenario[[#This Row],[Date]],0)</f>
        <v>45961</v>
      </c>
      <c r="C190" s="12">
        <v>406517.83875</v>
      </c>
      <c r="D190" s="12">
        <v>410191.45200000005</v>
      </c>
      <c r="E190" s="12">
        <v>401845.90049999999</v>
      </c>
      <c r="I190" s="12"/>
      <c r="J190" s="12"/>
      <c r="K190" s="12"/>
    </row>
    <row r="191" spans="1:11" x14ac:dyDescent="0.3">
      <c r="A191" s="1">
        <v>45959</v>
      </c>
      <c r="B191" s="1">
        <f>EOMONTH(Tbl_Scenario[[#This Row],[Date]],0)</f>
        <v>45961</v>
      </c>
      <c r="C191" s="12">
        <v>389052.39750000008</v>
      </c>
      <c r="D191" s="12">
        <v>392495.14199999999</v>
      </c>
      <c r="E191" s="12">
        <v>384622.32899999997</v>
      </c>
      <c r="I191" s="12"/>
      <c r="J191" s="12"/>
      <c r="K191" s="12"/>
    </row>
    <row r="192" spans="1:11" x14ac:dyDescent="0.3">
      <c r="A192" s="1">
        <v>45961</v>
      </c>
      <c r="B192" s="1">
        <f>EOMONTH(Tbl_Scenario[[#This Row],[Date]],0)</f>
        <v>45961</v>
      </c>
      <c r="C192" s="12">
        <v>390264.88500000007</v>
      </c>
      <c r="D192" s="12">
        <v>394687.40400000004</v>
      </c>
      <c r="E192" s="12">
        <v>384900.174</v>
      </c>
      <c r="I192" s="12"/>
      <c r="J192" s="12"/>
      <c r="K192" s="12"/>
    </row>
    <row r="193" spans="1:11" x14ac:dyDescent="0.3">
      <c r="A193" s="1">
        <v>45964</v>
      </c>
      <c r="B193" s="1">
        <f>EOMONTH(Tbl_Scenario[[#This Row],[Date]],0)</f>
        <v>45991</v>
      </c>
      <c r="C193" s="12">
        <v>420315.93000000005</v>
      </c>
      <c r="D193" s="12">
        <v>426153.52800000005</v>
      </c>
      <c r="E193" s="12">
        <v>414478.33199999999</v>
      </c>
      <c r="I193" s="12"/>
      <c r="J193" s="12"/>
      <c r="K193" s="12"/>
    </row>
    <row r="194" spans="1:11" x14ac:dyDescent="0.3">
      <c r="A194" s="1">
        <v>45965</v>
      </c>
      <c r="B194" s="1">
        <f>EOMONTH(Tbl_Scenario[[#This Row],[Date]],0)</f>
        <v>45991</v>
      </c>
      <c r="C194" s="12">
        <v>260154.96</v>
      </c>
      <c r="D194" s="12">
        <v>263130.81599999999</v>
      </c>
      <c r="E194" s="12">
        <v>257179.10400000002</v>
      </c>
      <c r="I194" s="12"/>
      <c r="J194" s="12"/>
      <c r="K194" s="12"/>
    </row>
    <row r="195" spans="1:11" x14ac:dyDescent="0.3">
      <c r="A195" s="1">
        <v>45966</v>
      </c>
      <c r="B195" s="1">
        <f>EOMONTH(Tbl_Scenario[[#This Row],[Date]],0)</f>
        <v>45991</v>
      </c>
      <c r="C195" s="12">
        <v>351265.20749999996</v>
      </c>
      <c r="D195" s="12">
        <v>355515.64199999999</v>
      </c>
      <c r="E195" s="12">
        <v>347014.77299999999</v>
      </c>
      <c r="I195" s="12"/>
      <c r="J195" s="12"/>
      <c r="K195" s="12"/>
    </row>
    <row r="196" spans="1:11" x14ac:dyDescent="0.3">
      <c r="A196" s="1">
        <v>45970</v>
      </c>
      <c r="B196" s="1">
        <f>EOMONTH(Tbl_Scenario[[#This Row],[Date]],0)</f>
        <v>45991</v>
      </c>
      <c r="C196" s="12">
        <v>389052.39750000008</v>
      </c>
      <c r="D196" s="12">
        <v>392495.14199999999</v>
      </c>
      <c r="E196" s="12">
        <v>384622.32899999997</v>
      </c>
      <c r="I196" s="12"/>
      <c r="J196" s="12"/>
      <c r="K196" s="12"/>
    </row>
    <row r="197" spans="1:11" x14ac:dyDescent="0.3">
      <c r="A197" s="1">
        <v>45975</v>
      </c>
      <c r="B197" s="1">
        <f>EOMONTH(Tbl_Scenario[[#This Row],[Date]],0)</f>
        <v>45991</v>
      </c>
      <c r="C197" s="12">
        <v>538403.625</v>
      </c>
      <c r="D197" s="12">
        <v>543072.30000000005</v>
      </c>
      <c r="E197" s="12">
        <v>533734.94999999995</v>
      </c>
      <c r="I197" s="12"/>
      <c r="J197" s="12"/>
      <c r="K197" s="12"/>
    </row>
    <row r="198" spans="1:11" x14ac:dyDescent="0.3">
      <c r="A198" s="1">
        <v>45976</v>
      </c>
      <c r="B198" s="1">
        <f>EOMONTH(Tbl_Scenario[[#This Row],[Date]],0)</f>
        <v>45991</v>
      </c>
      <c r="C198" s="12">
        <v>332629.02</v>
      </c>
      <c r="D198" s="12">
        <v>338196.88800000004</v>
      </c>
      <c r="E198" s="12">
        <v>326211.04799999995</v>
      </c>
      <c r="I198" s="12"/>
      <c r="J198" s="12"/>
      <c r="K198" s="12"/>
    </row>
    <row r="199" spans="1:11" x14ac:dyDescent="0.3">
      <c r="A199" s="1">
        <v>45982</v>
      </c>
      <c r="B199" s="1">
        <f>EOMONTH(Tbl_Scenario[[#This Row],[Date]],0)</f>
        <v>45991</v>
      </c>
      <c r="C199" s="12">
        <v>148045.78125</v>
      </c>
      <c r="D199" s="12">
        <v>149061.375</v>
      </c>
      <c r="E199" s="12">
        <v>147030.1875</v>
      </c>
      <c r="I199" s="12"/>
      <c r="J199" s="12"/>
      <c r="K199" s="12"/>
    </row>
    <row r="200" spans="1:11" x14ac:dyDescent="0.3">
      <c r="A200" s="1">
        <v>45986</v>
      </c>
      <c r="B200" s="1">
        <f>EOMONTH(Tbl_Scenario[[#This Row],[Date]],0)</f>
        <v>45991</v>
      </c>
      <c r="C200" s="12">
        <v>261990.30000000002</v>
      </c>
      <c r="D200" s="12">
        <v>266132.88</v>
      </c>
      <c r="E200" s="12">
        <v>257847.72</v>
      </c>
      <c r="I200" s="12"/>
      <c r="J200" s="12"/>
      <c r="K200" s="12"/>
    </row>
    <row r="201" spans="1:11" x14ac:dyDescent="0.3">
      <c r="A201" s="1">
        <v>45991</v>
      </c>
      <c r="B201" s="1">
        <f>EOMONTH(Tbl_Scenario[[#This Row],[Date]],0)</f>
        <v>45991</v>
      </c>
      <c r="C201" s="12">
        <v>538403.625</v>
      </c>
      <c r="D201" s="12">
        <v>543072.30000000005</v>
      </c>
      <c r="E201" s="12">
        <v>533734.94999999995</v>
      </c>
      <c r="I201" s="12"/>
      <c r="J201" s="12"/>
      <c r="K201" s="12"/>
    </row>
    <row r="202" spans="1:11" x14ac:dyDescent="0.3">
      <c r="A202" s="1">
        <v>45996</v>
      </c>
      <c r="B202" s="1">
        <f>EOMONTH(Tbl_Scenario[[#This Row],[Date]],0)</f>
        <v>46022</v>
      </c>
      <c r="C202" s="12">
        <v>391852.28250000003</v>
      </c>
      <c r="D202" s="12">
        <v>394948.06199999998</v>
      </c>
      <c r="E202" s="12">
        <v>388214.28900000005</v>
      </c>
      <c r="I202" s="12"/>
      <c r="J202" s="12"/>
      <c r="K202" s="12"/>
    </row>
    <row r="203" spans="1:11" x14ac:dyDescent="0.3">
      <c r="A203" s="1">
        <v>46000</v>
      </c>
      <c r="B203" s="1">
        <f>EOMONTH(Tbl_Scenario[[#This Row],[Date]],0)</f>
        <v>46022</v>
      </c>
      <c r="C203" s="12">
        <v>332629.02</v>
      </c>
      <c r="D203" s="12">
        <v>338196.88800000004</v>
      </c>
      <c r="E203" s="12">
        <v>326211.04799999995</v>
      </c>
      <c r="I203" s="12"/>
      <c r="J203" s="12"/>
      <c r="K203" s="12"/>
    </row>
    <row r="204" spans="1:11" x14ac:dyDescent="0.3">
      <c r="A204" s="1">
        <v>46003</v>
      </c>
      <c r="B204" s="1">
        <f>EOMONTH(Tbl_Scenario[[#This Row],[Date]],0)</f>
        <v>46022</v>
      </c>
      <c r="C204" s="12">
        <v>307914.61499999999</v>
      </c>
      <c r="D204" s="12">
        <v>310932.91800000001</v>
      </c>
      <c r="E204" s="12">
        <v>303745.62599999999</v>
      </c>
      <c r="I204" s="12"/>
      <c r="J204" s="12"/>
      <c r="K204" s="12"/>
    </row>
    <row r="205" spans="1:11" x14ac:dyDescent="0.3">
      <c r="A205" s="1">
        <v>46006</v>
      </c>
      <c r="B205" s="1">
        <f>EOMONTH(Tbl_Scenario[[#This Row],[Date]],0)</f>
        <v>46022</v>
      </c>
      <c r="C205" s="12">
        <v>260154.96</v>
      </c>
      <c r="D205" s="12">
        <v>263130.81599999999</v>
      </c>
      <c r="E205" s="12">
        <v>257179.10400000002</v>
      </c>
      <c r="I205" s="12"/>
      <c r="J205" s="12"/>
      <c r="K205" s="12"/>
    </row>
    <row r="206" spans="1:11" x14ac:dyDescent="0.3">
      <c r="A206" s="1">
        <v>46017</v>
      </c>
      <c r="B206" s="1">
        <f>EOMONTH(Tbl_Scenario[[#This Row],[Date]],0)</f>
        <v>46022</v>
      </c>
      <c r="C206" s="12">
        <v>182943.15</v>
      </c>
      <c r="D206" s="12">
        <v>184827.24</v>
      </c>
      <c r="E206" s="12">
        <v>181059.06</v>
      </c>
      <c r="I206" s="12"/>
      <c r="J206" s="12"/>
      <c r="K206" s="12"/>
    </row>
    <row r="207" spans="1:11" x14ac:dyDescent="0.3">
      <c r="A207" s="1">
        <v>46021</v>
      </c>
      <c r="B207" s="1">
        <f>EOMONTH(Tbl_Scenario[[#This Row],[Date]],0)</f>
        <v>46022</v>
      </c>
      <c r="C207" s="12">
        <v>202676.94000000003</v>
      </c>
      <c r="D207" s="12">
        <v>204353.424</v>
      </c>
      <c r="E207" s="12">
        <v>201000.45600000001</v>
      </c>
      <c r="I207" s="12"/>
      <c r="J207" s="12"/>
      <c r="K207" s="12"/>
    </row>
    <row r="208" spans="1:11" x14ac:dyDescent="0.3">
      <c r="A208" s="1">
        <v>46022</v>
      </c>
      <c r="B208" s="1">
        <f>EOMONTH(Tbl_Scenario[[#This Row],[Date]],0)</f>
        <v>46022</v>
      </c>
      <c r="C208" s="12">
        <v>406517.83875</v>
      </c>
      <c r="D208" s="12">
        <v>410191.45200000005</v>
      </c>
      <c r="E208" s="12">
        <v>401845.90049999999</v>
      </c>
      <c r="I208" s="12"/>
      <c r="J208" s="12"/>
      <c r="K208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538A-0789-4A64-A5AF-CAB03ACE0290}">
  <dimension ref="B1:F2"/>
  <sheetViews>
    <sheetView workbookViewId="0">
      <selection activeCell="M10" sqref="M10"/>
    </sheetView>
  </sheetViews>
  <sheetFormatPr defaultRowHeight="14.4" x14ac:dyDescent="0.3"/>
  <cols>
    <col min="2" max="2" width="32.21875" bestFit="1" customWidth="1"/>
    <col min="4" max="4" width="33" customWidth="1"/>
    <col min="6" max="6" width="29" customWidth="1"/>
  </cols>
  <sheetData>
    <row r="1" spans="2:6" x14ac:dyDescent="0.3">
      <c r="B1" s="9" t="s">
        <v>35</v>
      </c>
      <c r="D1" s="9" t="s">
        <v>36</v>
      </c>
      <c r="F1" s="9" t="s">
        <v>37</v>
      </c>
    </row>
    <row r="2" spans="2:6" ht="31.2" x14ac:dyDescent="0.6">
      <c r="B2" s="13">
        <f>SUM(Tbl_Scenario[Base Scenario Revenue])</f>
        <v>67040498.039999984</v>
      </c>
      <c r="D2" s="13" cm="1">
        <f t="array" ref="D2">SUM(Tbl_Scenario[Optimistic Scenario Revenue] - Tbl_Scenario[Base Scenario Revenue])</f>
        <v>727124.4089999987</v>
      </c>
      <c r="F2" s="13" cm="1">
        <f t="array" ref="F2">SUM(Tbl_Scenario[Pessimistic Scenario Revenue] - Tbl_Scenario[Base Scenario Revenue])</f>
        <v>-788541.16200000478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4E002637-1AF2-42DE-B58D-0721FCE77741}">
  <ds:schemaRefs/>
</ds:datastoreItem>
</file>

<file path=customXml/itemProps2.xml><?xml version="1.0" encoding="utf-8"?>
<ds:datastoreItem xmlns:ds="http://schemas.openxmlformats.org/officeDocument/2006/customXml" ds:itemID="{09D791CF-A9F6-4029-AAF6-E712E3AEA999}">
  <ds:schemaRefs/>
</ds:datastoreItem>
</file>

<file path=customXml/itemProps3.xml><?xml version="1.0" encoding="utf-8"?>
<ds:datastoreItem xmlns:ds="http://schemas.openxmlformats.org/officeDocument/2006/customXml" ds:itemID="{77A7C0CB-E800-4FB2-A33B-257BF37C8EB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730A617-E130-477E-8187-BBDDF7981608}">
  <ds:schemaRefs/>
</ds:datastoreItem>
</file>

<file path=customXml/itemProps5.xml><?xml version="1.0" encoding="utf-8"?>
<ds:datastoreItem xmlns:ds="http://schemas.openxmlformats.org/officeDocument/2006/customXml" ds:itemID="{147C9999-4180-4572-9165-756D5BCDB6E6}">
  <ds:schemaRefs/>
</ds:datastoreItem>
</file>

<file path=customXml/itemProps6.xml><?xml version="1.0" encoding="utf-8"?>
<ds:datastoreItem xmlns:ds="http://schemas.openxmlformats.org/officeDocument/2006/customXml" ds:itemID="{D1CAB01D-878E-462F-BCCB-AC2092060218}">
  <ds:schemaRefs/>
</ds:datastoreItem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Assumptions</vt:lpstr>
      <vt:lpstr>Forecast_Model</vt:lpstr>
      <vt:lpstr>Scenario_Analysis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Milenkovic, Luka</dc:creator>
  <cp:lastModifiedBy>Milenkovic, Luka</cp:lastModifiedBy>
  <dcterms:created xsi:type="dcterms:W3CDTF">2026-04-21T09:55:20Z</dcterms:created>
  <dcterms:modified xsi:type="dcterms:W3CDTF">2026-04-23T16:50:56Z</dcterms:modified>
</cp:coreProperties>
</file>